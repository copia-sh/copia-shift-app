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tf-co0131/Documents/copia-shift-app/spreadsheet-template/"/>
    </mc:Choice>
  </mc:AlternateContent>
  <xr:revisionPtr revIDLastSave="0" documentId="13_ncr:1_{136C7379-DB0E-D64A-8DF6-46A68B10856C}" xr6:coauthVersionLast="47" xr6:coauthVersionMax="47" xr10:uidLastSave="{00000000-0000-0000-0000-000000000000}"/>
  <bookViews>
    <workbookView xWindow="0" yWindow="600" windowWidth="28160" windowHeight="17020" tabRatio="500" activeTab="3" xr2:uid="{00000000-000D-0000-FFFF-FFFF00000000}"/>
  </bookViews>
  <sheets>
    <sheet name="使い方" sheetId="1" r:id="rId1"/>
    <sheet name="設定" sheetId="2" r:id="rId2"/>
    <sheet name="登録" sheetId="3" r:id="rId3"/>
    <sheet name="月表示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3" i="4" l="1"/>
  <c r="A32" i="4"/>
  <c r="A31" i="4"/>
  <c r="A30" i="4"/>
  <c r="A28" i="4"/>
  <c r="A27" i="4"/>
  <c r="A26" i="4"/>
  <c r="A25" i="4"/>
  <c r="A23" i="4"/>
  <c r="A22" i="4"/>
  <c r="A21" i="4"/>
  <c r="A20" i="4"/>
  <c r="A18" i="4"/>
  <c r="A17" i="4"/>
  <c r="A16" i="4"/>
  <c r="A15" i="4"/>
  <c r="A13" i="4"/>
  <c r="A12" i="4"/>
  <c r="A11" i="4"/>
  <c r="A10" i="4"/>
  <c r="A8" i="4"/>
  <c r="A7" i="4"/>
  <c r="A6" i="4"/>
  <c r="A5" i="4"/>
  <c r="B4" i="4"/>
  <c r="B6" i="4" s="1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B7" i="4" l="1"/>
  <c r="C4" i="4"/>
  <c r="B11" i="4"/>
  <c r="B5" i="4"/>
  <c r="B8" i="4"/>
  <c r="B9" i="4"/>
  <c r="C6" i="4" l="1"/>
  <c r="C9" i="4"/>
  <c r="C8" i="4"/>
  <c r="C5" i="4"/>
  <c r="D4" i="4"/>
  <c r="C7" i="4"/>
  <c r="B13" i="4"/>
  <c r="B10" i="4"/>
  <c r="B12" i="4"/>
  <c r="B14" i="4"/>
  <c r="B16" i="4" l="1"/>
  <c r="B19" i="4"/>
  <c r="B18" i="4"/>
  <c r="B15" i="4"/>
  <c r="B17" i="4"/>
  <c r="C12" i="4"/>
  <c r="C11" i="4"/>
  <c r="C14" i="4"/>
  <c r="C13" i="4"/>
  <c r="C10" i="4"/>
  <c r="D9" i="4"/>
  <c r="D8" i="4"/>
  <c r="D5" i="4"/>
  <c r="E4" i="4"/>
  <c r="D6" i="4"/>
  <c r="D7" i="4"/>
  <c r="E8" i="4" l="1"/>
  <c r="E5" i="4"/>
  <c r="F4" i="4"/>
  <c r="E9" i="4"/>
  <c r="E7" i="4"/>
  <c r="E6" i="4"/>
  <c r="C16" i="4"/>
  <c r="C19" i="4"/>
  <c r="C18" i="4"/>
  <c r="C15" i="4"/>
  <c r="C17" i="4"/>
  <c r="B23" i="4"/>
  <c r="B20" i="4"/>
  <c r="B22" i="4"/>
  <c r="B24" i="4"/>
  <c r="B21" i="4"/>
  <c r="D12" i="4"/>
  <c r="D11" i="4"/>
  <c r="D14" i="4"/>
  <c r="D10" i="4"/>
  <c r="D13" i="4"/>
  <c r="E11" i="4" l="1"/>
  <c r="E14" i="4"/>
  <c r="E10" i="4"/>
  <c r="E12" i="4"/>
  <c r="E13" i="4"/>
  <c r="G4" i="4"/>
  <c r="F9" i="4"/>
  <c r="F8" i="4"/>
  <c r="F5" i="4"/>
  <c r="F7" i="4"/>
  <c r="F6" i="4"/>
  <c r="B26" i="4"/>
  <c r="B29" i="4"/>
  <c r="B28" i="4"/>
  <c r="B25" i="4"/>
  <c r="B27" i="4"/>
  <c r="C22" i="4"/>
  <c r="C21" i="4"/>
  <c r="C24" i="4"/>
  <c r="C23" i="4"/>
  <c r="C20" i="4"/>
  <c r="D19" i="4"/>
  <c r="D18" i="4"/>
  <c r="D15" i="4"/>
  <c r="D16" i="4"/>
  <c r="D17" i="4"/>
  <c r="D22" i="4" l="1"/>
  <c r="D21" i="4"/>
  <c r="D24" i="4"/>
  <c r="D20" i="4"/>
  <c r="D23" i="4"/>
  <c r="G9" i="4"/>
  <c r="H4" i="4"/>
  <c r="G7" i="4"/>
  <c r="G5" i="4"/>
  <c r="G8" i="4"/>
  <c r="G6" i="4"/>
  <c r="E18" i="4"/>
  <c r="E15" i="4"/>
  <c r="E19" i="4"/>
  <c r="E16" i="4"/>
  <c r="E17" i="4"/>
  <c r="C26" i="4"/>
  <c r="C29" i="4"/>
  <c r="C25" i="4"/>
  <c r="C27" i="4"/>
  <c r="C28" i="4"/>
  <c r="B30" i="4"/>
  <c r="B33" i="4"/>
  <c r="B31" i="4"/>
  <c r="B32" i="4"/>
  <c r="F11" i="4"/>
  <c r="F14" i="4"/>
  <c r="F10" i="4"/>
  <c r="F13" i="4"/>
  <c r="F12" i="4"/>
  <c r="E21" i="4" l="1"/>
  <c r="E24" i="4"/>
  <c r="E22" i="4"/>
  <c r="E23" i="4"/>
  <c r="E20" i="4"/>
  <c r="C32" i="4"/>
  <c r="C31" i="4"/>
  <c r="C30" i="4"/>
  <c r="C33" i="4"/>
  <c r="G14" i="4"/>
  <c r="G11" i="4"/>
  <c r="G13" i="4"/>
  <c r="G12" i="4"/>
  <c r="G10" i="4"/>
  <c r="D29" i="4"/>
  <c r="D28" i="4"/>
  <c r="D25" i="4"/>
  <c r="D27" i="4"/>
  <c r="D26" i="4"/>
  <c r="F19" i="4"/>
  <c r="F18" i="4"/>
  <c r="F15" i="4"/>
  <c r="F16" i="4"/>
  <c r="F17" i="4"/>
  <c r="H6" i="4"/>
  <c r="H9" i="4"/>
  <c r="H8" i="4"/>
  <c r="H5" i="4"/>
  <c r="H7" i="4"/>
  <c r="G19" i="4" l="1"/>
  <c r="G16" i="4"/>
  <c r="G15" i="4"/>
  <c r="G17" i="4"/>
  <c r="G18" i="4"/>
  <c r="E25" i="4"/>
  <c r="E29" i="4"/>
  <c r="E26" i="4"/>
  <c r="E27" i="4"/>
  <c r="E28" i="4"/>
  <c r="D32" i="4"/>
  <c r="D33" i="4"/>
  <c r="D30" i="4"/>
  <c r="D31" i="4"/>
  <c r="H13" i="4"/>
  <c r="H10" i="4"/>
  <c r="H12" i="4"/>
  <c r="H14" i="4"/>
  <c r="H11" i="4"/>
  <c r="F21" i="4"/>
  <c r="F24" i="4"/>
  <c r="F23" i="4"/>
  <c r="F22" i="4"/>
  <c r="F20" i="4"/>
  <c r="H16" i="4" l="1"/>
  <c r="H19" i="4"/>
  <c r="H18" i="4"/>
  <c r="H15" i="4"/>
  <c r="H17" i="4"/>
  <c r="F29" i="4"/>
  <c r="F28" i="4"/>
  <c r="F25" i="4"/>
  <c r="F26" i="4"/>
  <c r="F27" i="4"/>
  <c r="E31" i="4"/>
  <c r="E32" i="4"/>
  <c r="E30" i="4"/>
  <c r="E33" i="4"/>
  <c r="G24" i="4"/>
  <c r="G23" i="4"/>
  <c r="G21" i="4"/>
  <c r="G22" i="4"/>
  <c r="G20" i="4"/>
  <c r="F32" i="4" l="1"/>
  <c r="F33" i="4"/>
  <c r="F30" i="4"/>
  <c r="F31" i="4"/>
  <c r="H23" i="4"/>
  <c r="H20" i="4"/>
  <c r="H22" i="4"/>
  <c r="H24" i="4"/>
  <c r="H21" i="4"/>
  <c r="G29" i="4"/>
  <c r="G28" i="4"/>
  <c r="G25" i="4"/>
  <c r="G26" i="4"/>
  <c r="G27" i="4"/>
  <c r="G31" i="4" l="1"/>
  <c r="G33" i="4"/>
  <c r="G32" i="4"/>
  <c r="G30" i="4"/>
  <c r="H26" i="4"/>
  <c r="H29" i="4"/>
  <c r="H28" i="4"/>
  <c r="H25" i="4"/>
  <c r="H27" i="4"/>
  <c r="H32" i="4" l="1"/>
  <c r="H33" i="4"/>
  <c r="H30" i="4"/>
  <c r="H31" i="4"/>
</calcChain>
</file>

<file path=xl/sharedStrings.xml><?xml version="1.0" encoding="utf-8"?>
<sst xmlns="http://schemas.openxmlformats.org/spreadsheetml/2006/main" count="54" uniqueCount="41">
  <si>
    <r>
      <rPr>
        <b/>
        <sz val="14"/>
        <rFont val="Arial"/>
        <family val="2"/>
      </rPr>
      <t xml:space="preserve">Copia </t>
    </r>
    <r>
      <rPr>
        <b/>
        <sz val="14"/>
        <rFont val="游ゴシック体"/>
        <family val="2"/>
      </rPr>
      <t>シフト管理</t>
    </r>
    <r>
      <rPr>
        <b/>
        <sz val="14"/>
        <rFont val="Arial"/>
        <family val="2"/>
      </rPr>
      <t>(</t>
    </r>
    <r>
      <rPr>
        <b/>
        <sz val="14"/>
        <rFont val="游ゴシック体"/>
        <family val="2"/>
      </rPr>
      <t>スプレッドシート版</t>
    </r>
    <r>
      <rPr>
        <b/>
        <sz val="14"/>
        <rFont val="Arial"/>
        <family val="2"/>
      </rPr>
      <t>)</t>
    </r>
  </si>
  <si>
    <t>■ 使い方</t>
  </si>
  <si>
    <r>
      <rPr>
        <sz val="11"/>
        <rFont val="Arial"/>
        <family val="2"/>
      </rPr>
      <t xml:space="preserve">1. </t>
    </r>
    <r>
      <rPr>
        <sz val="11"/>
        <rFont val="游ゴシック体"/>
        <family val="2"/>
      </rPr>
      <t>「登録」シートに、日付・メンバー・ステータス</t>
    </r>
    <r>
      <rPr>
        <sz val="11"/>
        <rFont val="Arial"/>
        <family val="2"/>
      </rPr>
      <t>(</t>
    </r>
    <r>
      <rPr>
        <sz val="11"/>
        <rFont val="游ゴシック体"/>
        <family val="2"/>
      </rPr>
      <t>希望</t>
    </r>
    <r>
      <rPr>
        <sz val="11"/>
        <rFont val="Arial"/>
        <family val="2"/>
      </rPr>
      <t>/</t>
    </r>
    <r>
      <rPr>
        <sz val="11"/>
        <rFont val="游ゴシック体"/>
        <family val="2"/>
      </rPr>
      <t>確定</t>
    </r>
    <r>
      <rPr>
        <sz val="11"/>
        <rFont val="Arial"/>
        <family val="2"/>
      </rPr>
      <t>)</t>
    </r>
    <r>
      <rPr>
        <sz val="11"/>
        <rFont val="游ゴシック体"/>
        <family val="2"/>
      </rPr>
      <t>・種別</t>
    </r>
    <r>
      <rPr>
        <sz val="11"/>
        <rFont val="Arial"/>
        <family val="2"/>
      </rPr>
      <t>(</t>
    </r>
    <r>
      <rPr>
        <sz val="11"/>
        <rFont val="游ゴシック体"/>
        <family val="2"/>
      </rPr>
      <t>出勤</t>
    </r>
    <r>
      <rPr>
        <sz val="11"/>
        <rFont val="Arial"/>
        <family val="2"/>
      </rPr>
      <t>/</t>
    </r>
    <r>
      <rPr>
        <sz val="11"/>
        <rFont val="游ゴシック体"/>
        <family val="2"/>
      </rPr>
      <t>リモート</t>
    </r>
    <r>
      <rPr>
        <sz val="11"/>
        <rFont val="Arial"/>
        <family val="2"/>
      </rPr>
      <t>/</t>
    </r>
    <r>
      <rPr>
        <sz val="11"/>
        <rFont val="游ゴシック体"/>
        <family val="2"/>
      </rPr>
      <t>欠勤</t>
    </r>
    <r>
      <rPr>
        <sz val="11"/>
        <rFont val="Arial"/>
        <family val="2"/>
      </rPr>
      <t>/</t>
    </r>
    <r>
      <rPr>
        <sz val="11"/>
        <rFont val="游ゴシック体"/>
        <family val="2"/>
      </rPr>
      <t>未定</t>
    </r>
    <r>
      <rPr>
        <sz val="11"/>
        <rFont val="Arial"/>
        <family val="2"/>
      </rPr>
      <t>)</t>
    </r>
    <r>
      <rPr>
        <sz val="11"/>
        <rFont val="游ゴシック体"/>
        <family val="2"/>
      </rPr>
      <t>を入力します。</t>
    </r>
  </si>
  <si>
    <t xml:space="preserve">   メンバー・ステータス・種別は入力セルをクリックするとプルダウンから選べます。</t>
  </si>
  <si>
    <r>
      <rPr>
        <sz val="11"/>
        <rFont val="Arial"/>
        <family val="2"/>
      </rPr>
      <t xml:space="preserve">2. </t>
    </r>
    <r>
      <rPr>
        <sz val="11"/>
        <rFont val="游ゴシック体"/>
        <family val="2"/>
      </rPr>
      <t>「月表示」シートの</t>
    </r>
    <r>
      <rPr>
        <sz val="11"/>
        <rFont val="Arial"/>
        <family val="2"/>
      </rPr>
      <t>B1</t>
    </r>
    <r>
      <rPr>
        <sz val="11"/>
        <rFont val="游ゴシック体"/>
        <family val="2"/>
      </rPr>
      <t>セルで見たい月の</t>
    </r>
    <r>
      <rPr>
        <sz val="11"/>
        <rFont val="Arial"/>
        <family val="2"/>
      </rPr>
      <t>1</t>
    </r>
    <r>
      <rPr>
        <sz val="11"/>
        <rFont val="游ゴシック体"/>
        <family val="2"/>
      </rPr>
      <t>日の日付を入力すると、その月のカレンダーが自動表示されます。</t>
    </r>
  </si>
  <si>
    <r>
      <rPr>
        <sz val="11"/>
        <rFont val="Arial"/>
        <family val="2"/>
      </rPr>
      <t xml:space="preserve">3. </t>
    </r>
    <r>
      <rPr>
        <sz val="11"/>
        <rFont val="游ゴシック体"/>
        <family val="2"/>
      </rPr>
      <t>出勤希望日はイタリック体、確定した出勤日は太字で表示され、種別ごとに色分けされます。</t>
    </r>
  </si>
  <si>
    <r>
      <rPr>
        <sz val="11"/>
        <rFont val="游ゴシック体"/>
        <family val="2"/>
      </rPr>
      <t xml:space="preserve">   出勤</t>
    </r>
    <r>
      <rPr>
        <sz val="11"/>
        <rFont val="Arial"/>
        <family val="2"/>
      </rPr>
      <t>=</t>
    </r>
    <r>
      <rPr>
        <sz val="11"/>
        <rFont val="游ゴシック体"/>
        <family val="2"/>
      </rPr>
      <t xml:space="preserve">緑 </t>
    </r>
    <r>
      <rPr>
        <sz val="11"/>
        <rFont val="Arial"/>
        <family val="2"/>
      </rPr>
      <t xml:space="preserve">/ </t>
    </r>
    <r>
      <rPr>
        <sz val="11"/>
        <rFont val="游ゴシック体"/>
        <family val="2"/>
      </rPr>
      <t>リモート</t>
    </r>
    <r>
      <rPr>
        <sz val="11"/>
        <rFont val="Arial"/>
        <family val="2"/>
      </rPr>
      <t>=</t>
    </r>
    <r>
      <rPr>
        <sz val="11"/>
        <rFont val="游ゴシック体"/>
        <family val="2"/>
      </rPr>
      <t xml:space="preserve">青 </t>
    </r>
    <r>
      <rPr>
        <sz val="11"/>
        <rFont val="Arial"/>
        <family val="2"/>
      </rPr>
      <t xml:space="preserve">/ </t>
    </r>
    <r>
      <rPr>
        <sz val="11"/>
        <rFont val="游ゴシック体"/>
        <family val="2"/>
      </rPr>
      <t>欠勤</t>
    </r>
    <r>
      <rPr>
        <sz val="11"/>
        <rFont val="Arial"/>
        <family val="2"/>
      </rPr>
      <t>=</t>
    </r>
    <r>
      <rPr>
        <sz val="11"/>
        <rFont val="游ゴシック体"/>
        <family val="2"/>
      </rPr>
      <t xml:space="preserve">グレー </t>
    </r>
    <r>
      <rPr>
        <sz val="11"/>
        <rFont val="Arial"/>
        <family val="2"/>
      </rPr>
      <t xml:space="preserve">/ </t>
    </r>
    <r>
      <rPr>
        <sz val="11"/>
        <rFont val="游ゴシック体"/>
        <family val="2"/>
      </rPr>
      <t>未定</t>
    </r>
    <r>
      <rPr>
        <sz val="11"/>
        <rFont val="Arial"/>
        <family val="2"/>
      </rPr>
      <t>=</t>
    </r>
    <r>
      <rPr>
        <sz val="11"/>
        <rFont val="游ゴシック体"/>
        <family val="2"/>
      </rPr>
      <t>黄</t>
    </r>
  </si>
  <si>
    <t>■ メンバーや選択肢を変える場合</t>
  </si>
  <si>
    <t>「設定」シートのメンバー一覧・ステータス一覧・種別一覧を書き換えると、プルダウンと月表示に反映されます。</t>
  </si>
  <si>
    <t>■ 注意</t>
  </si>
  <si>
    <r>
      <rPr>
        <sz val="11"/>
        <rFont val="游ゴシック体"/>
        <family val="2"/>
      </rPr>
      <t>「登録」シートの</t>
    </r>
    <r>
      <rPr>
        <sz val="11"/>
        <rFont val="Arial"/>
        <family val="2"/>
      </rPr>
      <t>G</t>
    </r>
    <r>
      <rPr>
        <sz val="11"/>
        <rFont val="游ゴシック体"/>
        <family val="2"/>
      </rPr>
      <t>列・</t>
    </r>
    <r>
      <rPr>
        <sz val="11"/>
        <rFont val="Arial"/>
        <family val="2"/>
      </rPr>
      <t>H</t>
    </r>
    <r>
      <rPr>
        <sz val="11"/>
        <rFont val="游ゴシック体"/>
        <family val="2"/>
      </rPr>
      <t>列、「月表示」シートの数式セルは自動計算用です。書き換えないでください。</t>
    </r>
  </si>
  <si>
    <t>黄色いセルが入力用セルです。</t>
  </si>
  <si>
    <t>メンバー一覧</t>
  </si>
  <si>
    <t>ステータス一覧</t>
  </si>
  <si>
    <t>種別一覧</t>
  </si>
  <si>
    <t>山田</t>
  </si>
  <si>
    <t>希望</t>
  </si>
  <si>
    <t>出勤</t>
  </si>
  <si>
    <t>佐藤</t>
  </si>
  <si>
    <t>確定</t>
  </si>
  <si>
    <t>リモート</t>
  </si>
  <si>
    <t>鈴木</t>
  </si>
  <si>
    <t>欠勤</t>
  </si>
  <si>
    <t>田中</t>
  </si>
  <si>
    <t>未定</t>
  </si>
  <si>
    <t>日付</t>
  </si>
  <si>
    <t>メンバー</t>
  </si>
  <si>
    <t>ステータス</t>
  </si>
  <si>
    <t>種別</t>
  </si>
  <si>
    <t>開始時刻</t>
  </si>
  <si>
    <t>終了時刻</t>
  </si>
  <si>
    <r>
      <rPr>
        <b/>
        <sz val="11"/>
        <color rgb="FFFFFFFF"/>
        <rFont val="游ゴシック体"/>
        <family val="2"/>
      </rPr>
      <t>キー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游ゴシック体"/>
        <family val="2"/>
      </rPr>
      <t>自動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</si>
  <si>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游ゴシック体"/>
        <family val="2"/>
      </rPr>
      <t>表示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游ゴシック体"/>
        <family val="2"/>
      </rPr>
      <t>自動</t>
    </r>
    <r>
      <rPr>
        <b/>
        <sz val="11"/>
        <color rgb="FFFFFFFF"/>
        <rFont val="Arial"/>
        <family val="2"/>
      </rPr>
      <t>)</t>
    </r>
  </si>
  <si>
    <r>
      <rPr>
        <b/>
        <sz val="11"/>
        <rFont val="游ゴシック体"/>
        <family val="2"/>
      </rPr>
      <t>対象月</t>
    </r>
    <r>
      <rPr>
        <b/>
        <sz val="11"/>
        <rFont val="Arial"/>
        <family val="2"/>
      </rPr>
      <t>(1</t>
    </r>
    <r>
      <rPr>
        <b/>
        <sz val="11"/>
        <rFont val="游ゴシック体"/>
        <family val="2"/>
      </rPr>
      <t>日の日付を入力</t>
    </r>
    <r>
      <rPr>
        <b/>
        <sz val="11"/>
        <rFont val="Arial"/>
        <family val="2"/>
      </rPr>
      <t>)</t>
    </r>
  </si>
  <si>
    <t>日</t>
  </si>
  <si>
    <t>月</t>
  </si>
  <si>
    <t>火</t>
  </si>
  <si>
    <t>水</t>
  </si>
  <si>
    <t>木</t>
  </si>
  <si>
    <t>金</t>
  </si>
  <si>
    <t>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</si>
</sst>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hh:mm"/>
    <numFmt numFmtId="178" formatCode="d"/>
  </numFmts>
  <fonts count="17">
    <font>
      <sz val="11"/>
      <color theme="1"/>
      <name val="游ゴシック体"/>
      <family val="2"/>
    </font>
    <font>
      <b/>
      <sz val="14"/>
      <name val="Arial"/>
      <family val="2"/>
    </font>
    <font>
      <b/>
      <sz val="14"/>
      <name val="游ゴシック体"/>
      <family val="2"/>
    </font>
    <font>
      <sz val="11"/>
      <name val="游ゴシック体"/>
      <family val="2"/>
    </font>
    <font>
      <b/>
      <sz val="12"/>
      <name val="游ゴシック体"/>
      <family val="2"/>
    </font>
    <font>
      <sz val="11"/>
      <name val="Arial"/>
      <family val="2"/>
    </font>
    <font>
      <b/>
      <sz val="11"/>
      <name val="游ゴシック体"/>
      <family val="2"/>
    </font>
    <font>
      <b/>
      <sz val="11"/>
      <color rgb="FFFFFFFF"/>
      <name val="游ゴシック体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charset val="1"/>
    </font>
    <font>
      <sz val="11"/>
      <color rgb="FF808080"/>
      <name val="游ゴシック体"/>
      <family val="2"/>
    </font>
    <font>
      <b/>
      <sz val="11"/>
      <name val="Arial"/>
      <family val="2"/>
    </font>
    <font>
      <b/>
      <sz val="14"/>
      <color rgb="FF1155CC"/>
      <name val="Arial"/>
      <family val="2"/>
    </font>
    <font>
      <b/>
      <sz val="11"/>
      <color rgb="FF555555"/>
      <name val="Arial"/>
      <family val="2"/>
    </font>
    <font>
      <sz val="9"/>
      <color rgb="FF666666"/>
      <name val="游ゴシック体"/>
      <family val="2"/>
    </font>
    <font>
      <sz val="9"/>
      <name val="游ゴシック体"/>
      <family val="2"/>
    </font>
    <font>
      <sz val="6"/>
      <name val="Tsukushi A Round Gothic Bold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1155CC"/>
      </patternFill>
    </fill>
    <fill>
      <patternFill patternType="solid">
        <fgColor rgb="FFFFF2CC"/>
        <bgColor rgb="FFEFEFEF"/>
      </patternFill>
    </fill>
    <fill>
      <patternFill patternType="solid">
        <fgColor rgb="FFEFEFEF"/>
        <bgColor rgb="FFFFF2CC"/>
      </patternFill>
    </fill>
  </fills>
  <borders count="3">
    <border>
      <left/>
      <right/>
      <top/>
      <bottom/>
      <diagonal/>
    </border>
    <border>
      <left/>
      <right/>
      <top style="medium">
        <color rgb="FF666666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3" fillId="0" borderId="0" xfId="0" applyFont="1"/>
    <xf numFmtId="0" fontId="7" fillId="2" borderId="0" xfId="0" applyFont="1" applyFill="1" applyAlignment="1">
      <alignment horizontal="center"/>
    </xf>
    <xf numFmtId="176" fontId="9" fillId="3" borderId="0" xfId="0" applyNumberFormat="1" applyFont="1" applyFill="1"/>
    <xf numFmtId="0" fontId="0" fillId="3" borderId="0" xfId="0" applyFill="1"/>
    <xf numFmtId="177" fontId="9" fillId="3" borderId="0" xfId="0" applyNumberFormat="1" applyFont="1" applyFill="1"/>
    <xf numFmtId="0" fontId="10" fillId="0" borderId="0" xfId="0" applyFont="1"/>
    <xf numFmtId="55" fontId="12" fillId="3" borderId="0" xfId="0" applyNumberFormat="1" applyFont="1" applyFill="1"/>
    <xf numFmtId="0" fontId="6" fillId="4" borderId="0" xfId="0" applyFont="1" applyFill="1" applyAlignment="1">
      <alignment horizontal="center"/>
    </xf>
    <xf numFmtId="0" fontId="0" fillId="0" borderId="1" xfId="0" applyBorder="1"/>
    <xf numFmtId="178" fontId="13" fillId="0" borderId="1" xfId="0" applyNumberFormat="1" applyFont="1" applyBorder="1" applyAlignment="1">
      <alignment horizontal="right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6">
    <dxf>
      <font>
        <i/>
        <sz val="9"/>
        <name val="Arial"/>
        <charset val="1"/>
      </font>
    </dxf>
    <dxf>
      <font>
        <b/>
        <sz val="9"/>
        <name val="Arial"/>
        <charset val="1"/>
      </font>
    </dxf>
    <dxf>
      <fill>
        <patternFill>
          <bgColor rgb="FFFFF2CC"/>
        </patternFill>
      </fill>
    </dxf>
    <dxf>
      <fill>
        <patternFill>
          <bgColor rgb="FFD9D9D9"/>
        </patternFill>
      </fill>
    </dxf>
    <dxf>
      <fill>
        <patternFill>
          <bgColor rgb="FFBDD7E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FEFEF"/>
      <rgbColor rgb="FF660066"/>
      <rgbColor rgb="FFFF8080"/>
      <rgbColor rgb="FF1155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zoomScaleNormal="100" workbookViewId="0">
      <selection activeCell="D6" sqref="D6"/>
    </sheetView>
  </sheetViews>
  <sheetFormatPr baseColWidth="10" defaultColWidth="7.6640625" defaultRowHeight="14"/>
  <cols>
    <col min="1" max="1" width="79.33203125" customWidth="1"/>
  </cols>
  <sheetData>
    <row r="1" spans="1:1" ht="19">
      <c r="A1" s="1" t="s">
        <v>0</v>
      </c>
    </row>
    <row r="2" spans="1:1">
      <c r="A2" s="2"/>
    </row>
    <row r="3" spans="1:1" ht="16">
      <c r="A3" s="3" t="s">
        <v>1</v>
      </c>
    </row>
    <row r="4" spans="1:1" ht="30">
      <c r="A4" s="4" t="s">
        <v>2</v>
      </c>
    </row>
    <row r="5" spans="1:1" ht="15">
      <c r="A5" s="2" t="s">
        <v>3</v>
      </c>
    </row>
    <row r="6" spans="1:1" ht="30">
      <c r="A6" s="4" t="s">
        <v>4</v>
      </c>
    </row>
    <row r="7" spans="1:1" ht="30">
      <c r="A7" s="4" t="s">
        <v>5</v>
      </c>
    </row>
    <row r="8" spans="1:1" ht="15">
      <c r="A8" s="2" t="s">
        <v>6</v>
      </c>
    </row>
    <row r="9" spans="1:1">
      <c r="A9" s="2"/>
    </row>
    <row r="10" spans="1:1" ht="16">
      <c r="A10" s="3" t="s">
        <v>7</v>
      </c>
    </row>
    <row r="11" spans="1:1" ht="30">
      <c r="A11" s="2" t="s">
        <v>8</v>
      </c>
    </row>
    <row r="12" spans="1:1">
      <c r="A12" s="2"/>
    </row>
    <row r="13" spans="1:1" ht="16">
      <c r="A13" s="3" t="s">
        <v>9</v>
      </c>
    </row>
    <row r="14" spans="1:1" ht="30">
      <c r="A14" s="2" t="s">
        <v>10</v>
      </c>
    </row>
    <row r="15" spans="1:1" ht="15">
      <c r="A15" s="2" t="s">
        <v>11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zoomScaleNormal="100" workbookViewId="0"/>
  </sheetViews>
  <sheetFormatPr baseColWidth="10" defaultColWidth="7.6640625" defaultRowHeight="14"/>
  <cols>
    <col min="1" max="1" width="12.33203125" customWidth="1"/>
    <col min="3" max="3" width="10.5" customWidth="1"/>
    <col min="5" max="5" width="10.5" customWidth="1"/>
  </cols>
  <sheetData>
    <row r="1" spans="1:5">
      <c r="A1" s="5" t="s">
        <v>12</v>
      </c>
      <c r="C1" s="5" t="s">
        <v>13</v>
      </c>
      <c r="E1" s="5" t="s">
        <v>14</v>
      </c>
    </row>
    <row r="2" spans="1:5">
      <c r="A2" s="6" t="s">
        <v>15</v>
      </c>
      <c r="C2" s="6" t="s">
        <v>16</v>
      </c>
      <c r="E2" s="6" t="s">
        <v>17</v>
      </c>
    </row>
    <row r="3" spans="1:5">
      <c r="A3" s="6" t="s">
        <v>18</v>
      </c>
      <c r="C3" s="6" t="s">
        <v>19</v>
      </c>
      <c r="E3" s="6" t="s">
        <v>20</v>
      </c>
    </row>
    <row r="4" spans="1:5">
      <c r="A4" s="6" t="s">
        <v>21</v>
      </c>
      <c r="E4" s="6" t="s">
        <v>22</v>
      </c>
    </row>
    <row r="5" spans="1:5">
      <c r="A5" s="6" t="s">
        <v>23</v>
      </c>
      <c r="E5" s="6" t="s">
        <v>24</v>
      </c>
    </row>
  </sheetData>
  <phoneticPr fontId="1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zoomScaleNormal="100" workbookViewId="0">
      <pane ySplit="1" topLeftCell="A2" activePane="bottomLeft" state="frozen"/>
      <selection pane="bottomLeft" activeCell="A6" sqref="A6"/>
    </sheetView>
  </sheetViews>
  <sheetFormatPr baseColWidth="10" defaultColWidth="7.6640625" defaultRowHeight="14"/>
  <cols>
    <col min="1" max="1" width="10.5" customWidth="1"/>
    <col min="2" max="6" width="8.83203125" customWidth="1"/>
    <col min="7" max="7" width="19.33203125" customWidth="1"/>
    <col min="8" max="8" width="22.83203125" customWidth="1"/>
  </cols>
  <sheetData>
    <row r="1" spans="1:8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</row>
    <row r="2" spans="1:8" ht="15">
      <c r="A2" s="8">
        <v>46254</v>
      </c>
      <c r="B2" s="9" t="s">
        <v>15</v>
      </c>
      <c r="C2" s="9" t="s">
        <v>19</v>
      </c>
      <c r="D2" s="9" t="s">
        <v>17</v>
      </c>
      <c r="E2" s="10">
        <v>0.375</v>
      </c>
      <c r="F2" s="10">
        <v>0.75</v>
      </c>
      <c r="G2" s="11" t="str">
        <f t="shared" ref="G2:G33" si="0">IF(A2="","",B2&amp;"_"&amp;TEXT(A2,"YYYY-MM-DD"))</f>
        <v>山田_2026-08-20</v>
      </c>
      <c r="H2" s="11" t="str">
        <f t="shared" ref="H2:H33" si="1">IF(A2="","",D2&amp;IF(E2&lt;&gt;""," "&amp;TEXT(E2,"hh:mm"),"")&amp;IF(F2&lt;&gt;""," - "&amp;TEXT(F2,"hh:mm"),"")&amp;"("&amp;C2&amp;")")</f>
        <v>出勤 09:00 - 18:00(確定)</v>
      </c>
    </row>
    <row r="3" spans="1:8" ht="15">
      <c r="A3" s="8">
        <v>46254</v>
      </c>
      <c r="B3" s="9" t="s">
        <v>18</v>
      </c>
      <c r="C3" s="9" t="s">
        <v>16</v>
      </c>
      <c r="D3" s="9" t="s">
        <v>20</v>
      </c>
      <c r="E3" s="9"/>
      <c r="F3" s="9"/>
      <c r="G3" s="11" t="str">
        <f t="shared" si="0"/>
        <v>佐藤_2026-08-20</v>
      </c>
      <c r="H3" s="11" t="str">
        <f t="shared" si="1"/>
        <v>リモート(希望)</v>
      </c>
    </row>
    <row r="4" spans="1:8" ht="15">
      <c r="A4" s="8">
        <v>46255</v>
      </c>
      <c r="B4" s="9" t="s">
        <v>21</v>
      </c>
      <c r="C4" s="9" t="s">
        <v>19</v>
      </c>
      <c r="D4" s="9" t="s">
        <v>22</v>
      </c>
      <c r="E4" s="9"/>
      <c r="F4" s="9"/>
      <c r="G4" s="11" t="str">
        <f t="shared" si="0"/>
        <v>鈴木_2026-08-21</v>
      </c>
      <c r="H4" s="11" t="str">
        <f t="shared" si="1"/>
        <v>欠勤(確定)</v>
      </c>
    </row>
    <row r="5" spans="1:8" ht="15">
      <c r="A5" s="8">
        <v>46256</v>
      </c>
      <c r="B5" s="9" t="s">
        <v>23</v>
      </c>
      <c r="C5" s="9" t="s">
        <v>16</v>
      </c>
      <c r="D5" s="9" t="s">
        <v>24</v>
      </c>
      <c r="E5" s="9"/>
      <c r="F5" s="9"/>
      <c r="G5" s="11" t="str">
        <f t="shared" si="0"/>
        <v>田中_2026-08-22</v>
      </c>
      <c r="H5" s="11" t="str">
        <f t="shared" si="1"/>
        <v>未定(希望)</v>
      </c>
    </row>
    <row r="6" spans="1:8" ht="15">
      <c r="A6" s="8"/>
      <c r="B6" s="9"/>
      <c r="C6" s="9" t="s">
        <v>16</v>
      </c>
      <c r="D6" s="9"/>
      <c r="E6" s="10"/>
      <c r="F6" s="10"/>
      <c r="G6" s="11" t="str">
        <f t="shared" si="0"/>
        <v/>
      </c>
      <c r="H6" s="11" t="str">
        <f t="shared" si="1"/>
        <v/>
      </c>
    </row>
    <row r="7" spans="1:8" ht="15">
      <c r="A7" s="8"/>
      <c r="B7" s="9"/>
      <c r="C7" s="9"/>
      <c r="D7" s="9"/>
      <c r="E7" s="10"/>
      <c r="F7" s="10"/>
      <c r="G7" s="11" t="str">
        <f t="shared" si="0"/>
        <v/>
      </c>
      <c r="H7" s="11" t="str">
        <f t="shared" si="1"/>
        <v/>
      </c>
    </row>
    <row r="8" spans="1:8" ht="15">
      <c r="A8" s="8"/>
      <c r="B8" s="9"/>
      <c r="C8" s="9"/>
      <c r="D8" s="9"/>
      <c r="E8" s="10"/>
      <c r="F8" s="10"/>
      <c r="G8" s="11" t="str">
        <f t="shared" si="0"/>
        <v/>
      </c>
      <c r="H8" s="11" t="str">
        <f t="shared" si="1"/>
        <v/>
      </c>
    </row>
    <row r="9" spans="1:8" ht="15">
      <c r="A9" s="8"/>
      <c r="B9" s="9"/>
      <c r="C9" s="9"/>
      <c r="D9" s="9"/>
      <c r="E9" s="10"/>
      <c r="F9" s="10"/>
      <c r="G9" s="11" t="str">
        <f t="shared" si="0"/>
        <v/>
      </c>
      <c r="H9" s="11" t="str">
        <f t="shared" si="1"/>
        <v/>
      </c>
    </row>
    <row r="10" spans="1:8" ht="15">
      <c r="A10" s="8"/>
      <c r="B10" s="9"/>
      <c r="C10" s="9"/>
      <c r="D10" s="9"/>
      <c r="E10" s="10"/>
      <c r="F10" s="10"/>
      <c r="G10" s="11" t="str">
        <f t="shared" si="0"/>
        <v/>
      </c>
      <c r="H10" s="11" t="str">
        <f t="shared" si="1"/>
        <v/>
      </c>
    </row>
    <row r="11" spans="1:8" ht="15">
      <c r="A11" s="8"/>
      <c r="B11" s="9"/>
      <c r="C11" s="9"/>
      <c r="D11" s="9"/>
      <c r="E11" s="10"/>
      <c r="F11" s="10"/>
      <c r="G11" s="11" t="str">
        <f t="shared" si="0"/>
        <v/>
      </c>
      <c r="H11" s="11" t="str">
        <f t="shared" si="1"/>
        <v/>
      </c>
    </row>
    <row r="12" spans="1:8" ht="15">
      <c r="A12" s="8"/>
      <c r="B12" s="9"/>
      <c r="C12" s="9"/>
      <c r="D12" s="9"/>
      <c r="E12" s="10"/>
      <c r="F12" s="10"/>
      <c r="G12" s="11" t="str">
        <f t="shared" si="0"/>
        <v/>
      </c>
      <c r="H12" s="11" t="str">
        <f t="shared" si="1"/>
        <v/>
      </c>
    </row>
    <row r="13" spans="1:8" ht="15">
      <c r="A13" s="8"/>
      <c r="B13" s="9"/>
      <c r="C13" s="9"/>
      <c r="D13" s="9"/>
      <c r="E13" s="10"/>
      <c r="F13" s="10"/>
      <c r="G13" s="11" t="str">
        <f t="shared" si="0"/>
        <v/>
      </c>
      <c r="H13" s="11" t="str">
        <f t="shared" si="1"/>
        <v/>
      </c>
    </row>
    <row r="14" spans="1:8" ht="15">
      <c r="A14" s="8"/>
      <c r="B14" s="9"/>
      <c r="C14" s="9"/>
      <c r="D14" s="9"/>
      <c r="E14" s="10"/>
      <c r="F14" s="10"/>
      <c r="G14" s="11" t="str">
        <f t="shared" si="0"/>
        <v/>
      </c>
      <c r="H14" s="11" t="str">
        <f t="shared" si="1"/>
        <v/>
      </c>
    </row>
    <row r="15" spans="1:8" ht="15">
      <c r="A15" s="8"/>
      <c r="B15" s="9"/>
      <c r="C15" s="9"/>
      <c r="D15" s="9"/>
      <c r="E15" s="10"/>
      <c r="F15" s="10"/>
      <c r="G15" s="11" t="str">
        <f t="shared" si="0"/>
        <v/>
      </c>
      <c r="H15" s="11" t="str">
        <f t="shared" si="1"/>
        <v/>
      </c>
    </row>
    <row r="16" spans="1:8" ht="15">
      <c r="A16" s="8"/>
      <c r="B16" s="9"/>
      <c r="C16" s="9"/>
      <c r="D16" s="9"/>
      <c r="E16" s="10"/>
      <c r="F16" s="10"/>
      <c r="G16" s="11" t="str">
        <f t="shared" si="0"/>
        <v/>
      </c>
      <c r="H16" s="11" t="str">
        <f t="shared" si="1"/>
        <v/>
      </c>
    </row>
    <row r="17" spans="1:8" ht="15">
      <c r="A17" s="8"/>
      <c r="B17" s="9"/>
      <c r="C17" s="9"/>
      <c r="D17" s="9"/>
      <c r="E17" s="10"/>
      <c r="F17" s="10"/>
      <c r="G17" s="11" t="str">
        <f t="shared" si="0"/>
        <v/>
      </c>
      <c r="H17" s="11" t="str">
        <f t="shared" si="1"/>
        <v/>
      </c>
    </row>
    <row r="18" spans="1:8" ht="15">
      <c r="A18" s="8"/>
      <c r="B18" s="9"/>
      <c r="C18" s="9"/>
      <c r="D18" s="9"/>
      <c r="E18" s="10"/>
      <c r="F18" s="10"/>
      <c r="G18" s="11" t="str">
        <f t="shared" si="0"/>
        <v/>
      </c>
      <c r="H18" s="11" t="str">
        <f t="shared" si="1"/>
        <v/>
      </c>
    </row>
    <row r="19" spans="1:8" ht="15">
      <c r="A19" s="8"/>
      <c r="B19" s="9"/>
      <c r="C19" s="9"/>
      <c r="D19" s="9"/>
      <c r="E19" s="10"/>
      <c r="F19" s="10"/>
      <c r="G19" s="11" t="str">
        <f t="shared" si="0"/>
        <v/>
      </c>
      <c r="H19" s="11" t="str">
        <f t="shared" si="1"/>
        <v/>
      </c>
    </row>
    <row r="20" spans="1:8" ht="15">
      <c r="A20" s="8"/>
      <c r="B20" s="9"/>
      <c r="C20" s="9"/>
      <c r="D20" s="9"/>
      <c r="E20" s="10"/>
      <c r="F20" s="10"/>
      <c r="G20" s="11" t="str">
        <f t="shared" si="0"/>
        <v/>
      </c>
      <c r="H20" s="11" t="str">
        <f t="shared" si="1"/>
        <v/>
      </c>
    </row>
    <row r="21" spans="1:8" ht="15">
      <c r="A21" s="8"/>
      <c r="B21" s="9"/>
      <c r="C21" s="9"/>
      <c r="D21" s="9"/>
      <c r="E21" s="10"/>
      <c r="F21" s="10"/>
      <c r="G21" s="11" t="str">
        <f t="shared" si="0"/>
        <v/>
      </c>
      <c r="H21" s="11" t="str">
        <f t="shared" si="1"/>
        <v/>
      </c>
    </row>
    <row r="22" spans="1:8" ht="15">
      <c r="A22" s="8"/>
      <c r="B22" s="9"/>
      <c r="C22" s="9"/>
      <c r="D22" s="9"/>
      <c r="E22" s="10"/>
      <c r="F22" s="10"/>
      <c r="G22" s="11" t="str">
        <f t="shared" si="0"/>
        <v/>
      </c>
      <c r="H22" s="11" t="str">
        <f t="shared" si="1"/>
        <v/>
      </c>
    </row>
    <row r="23" spans="1:8" ht="15">
      <c r="A23" s="8"/>
      <c r="B23" s="9"/>
      <c r="C23" s="9"/>
      <c r="D23" s="9"/>
      <c r="E23" s="10"/>
      <c r="F23" s="10"/>
      <c r="G23" s="11" t="str">
        <f t="shared" si="0"/>
        <v/>
      </c>
      <c r="H23" s="11" t="str">
        <f t="shared" si="1"/>
        <v/>
      </c>
    </row>
    <row r="24" spans="1:8" ht="15">
      <c r="A24" s="8"/>
      <c r="B24" s="9"/>
      <c r="C24" s="9"/>
      <c r="D24" s="9"/>
      <c r="E24" s="10"/>
      <c r="F24" s="10"/>
      <c r="G24" s="11" t="str">
        <f t="shared" si="0"/>
        <v/>
      </c>
      <c r="H24" s="11" t="str">
        <f t="shared" si="1"/>
        <v/>
      </c>
    </row>
    <row r="25" spans="1:8" ht="15">
      <c r="A25" s="8"/>
      <c r="B25" s="9"/>
      <c r="C25" s="9"/>
      <c r="D25" s="9"/>
      <c r="E25" s="10"/>
      <c r="F25" s="10"/>
      <c r="G25" s="11" t="str">
        <f t="shared" si="0"/>
        <v/>
      </c>
      <c r="H25" s="11" t="str">
        <f t="shared" si="1"/>
        <v/>
      </c>
    </row>
    <row r="26" spans="1:8" ht="15">
      <c r="A26" s="8"/>
      <c r="B26" s="9"/>
      <c r="C26" s="9"/>
      <c r="D26" s="9"/>
      <c r="E26" s="10"/>
      <c r="F26" s="10"/>
      <c r="G26" s="11" t="str">
        <f t="shared" si="0"/>
        <v/>
      </c>
      <c r="H26" s="11" t="str">
        <f t="shared" si="1"/>
        <v/>
      </c>
    </row>
    <row r="27" spans="1:8" ht="15">
      <c r="A27" s="8"/>
      <c r="B27" s="9"/>
      <c r="C27" s="9"/>
      <c r="D27" s="9"/>
      <c r="E27" s="10"/>
      <c r="F27" s="10"/>
      <c r="G27" s="11" t="str">
        <f t="shared" si="0"/>
        <v/>
      </c>
      <c r="H27" s="11" t="str">
        <f t="shared" si="1"/>
        <v/>
      </c>
    </row>
    <row r="28" spans="1:8" ht="15">
      <c r="A28" s="8"/>
      <c r="B28" s="9"/>
      <c r="C28" s="9"/>
      <c r="D28" s="9"/>
      <c r="E28" s="10"/>
      <c r="F28" s="10"/>
      <c r="G28" s="11" t="str">
        <f t="shared" si="0"/>
        <v/>
      </c>
      <c r="H28" s="11" t="str">
        <f t="shared" si="1"/>
        <v/>
      </c>
    </row>
    <row r="29" spans="1:8" ht="15">
      <c r="A29" s="8"/>
      <c r="B29" s="9"/>
      <c r="C29" s="9"/>
      <c r="D29" s="9"/>
      <c r="E29" s="10"/>
      <c r="F29" s="10"/>
      <c r="G29" s="11" t="str">
        <f t="shared" si="0"/>
        <v/>
      </c>
      <c r="H29" s="11" t="str">
        <f t="shared" si="1"/>
        <v/>
      </c>
    </row>
    <row r="30" spans="1:8" ht="15">
      <c r="A30" s="8"/>
      <c r="B30" s="9"/>
      <c r="C30" s="9"/>
      <c r="D30" s="9"/>
      <c r="E30" s="10"/>
      <c r="F30" s="10"/>
      <c r="G30" s="11" t="str">
        <f t="shared" si="0"/>
        <v/>
      </c>
      <c r="H30" s="11" t="str">
        <f t="shared" si="1"/>
        <v/>
      </c>
    </row>
    <row r="31" spans="1:8" ht="15">
      <c r="A31" s="8"/>
      <c r="B31" s="9"/>
      <c r="C31" s="9"/>
      <c r="D31" s="9"/>
      <c r="E31" s="10"/>
      <c r="F31" s="10"/>
      <c r="G31" s="11" t="str">
        <f t="shared" si="0"/>
        <v/>
      </c>
      <c r="H31" s="11" t="str">
        <f t="shared" si="1"/>
        <v/>
      </c>
    </row>
    <row r="32" spans="1:8" ht="15">
      <c r="A32" s="8"/>
      <c r="B32" s="9"/>
      <c r="C32" s="9"/>
      <c r="D32" s="9"/>
      <c r="E32" s="10"/>
      <c r="F32" s="10"/>
      <c r="G32" s="11" t="str">
        <f t="shared" si="0"/>
        <v/>
      </c>
      <c r="H32" s="11" t="str">
        <f t="shared" si="1"/>
        <v/>
      </c>
    </row>
    <row r="33" spans="1:8" ht="15">
      <c r="A33" s="8"/>
      <c r="B33" s="9"/>
      <c r="C33" s="9"/>
      <c r="D33" s="9"/>
      <c r="E33" s="10"/>
      <c r="F33" s="10"/>
      <c r="G33" s="11" t="str">
        <f t="shared" si="0"/>
        <v/>
      </c>
      <c r="H33" s="11" t="str">
        <f t="shared" si="1"/>
        <v/>
      </c>
    </row>
    <row r="34" spans="1:8" ht="15">
      <c r="A34" s="8"/>
      <c r="B34" s="9"/>
      <c r="C34" s="9"/>
      <c r="D34" s="9"/>
      <c r="E34" s="10"/>
      <c r="F34" s="10"/>
      <c r="G34" s="11" t="str">
        <f t="shared" ref="G34:G65" si="2">IF(A34="","",B34&amp;"_"&amp;TEXT(A34,"YYYY-MM-DD"))</f>
        <v/>
      </c>
      <c r="H34" s="11" t="str">
        <f t="shared" ref="H34:H65" si="3">IF(A34="","",D34&amp;IF(E34&lt;&gt;""," "&amp;TEXT(E34,"hh:mm"),"")&amp;IF(F34&lt;&gt;""," - "&amp;TEXT(F34,"hh:mm"),"")&amp;"("&amp;C34&amp;")")</f>
        <v/>
      </c>
    </row>
    <row r="35" spans="1:8" ht="15">
      <c r="A35" s="8"/>
      <c r="B35" s="9"/>
      <c r="C35" s="9"/>
      <c r="D35" s="9"/>
      <c r="E35" s="10"/>
      <c r="F35" s="10"/>
      <c r="G35" s="11" t="str">
        <f t="shared" si="2"/>
        <v/>
      </c>
      <c r="H35" s="11" t="str">
        <f t="shared" si="3"/>
        <v/>
      </c>
    </row>
    <row r="36" spans="1:8" ht="15">
      <c r="A36" s="8"/>
      <c r="B36" s="9"/>
      <c r="C36" s="9"/>
      <c r="D36" s="9"/>
      <c r="E36" s="10"/>
      <c r="F36" s="10"/>
      <c r="G36" s="11" t="str">
        <f t="shared" si="2"/>
        <v/>
      </c>
      <c r="H36" s="11" t="str">
        <f t="shared" si="3"/>
        <v/>
      </c>
    </row>
    <row r="37" spans="1:8" ht="15">
      <c r="A37" s="8"/>
      <c r="B37" s="9"/>
      <c r="C37" s="9"/>
      <c r="D37" s="9"/>
      <c r="E37" s="10"/>
      <c r="F37" s="10"/>
      <c r="G37" s="11" t="str">
        <f t="shared" si="2"/>
        <v/>
      </c>
      <c r="H37" s="11" t="str">
        <f t="shared" si="3"/>
        <v/>
      </c>
    </row>
    <row r="38" spans="1:8" ht="15">
      <c r="A38" s="8"/>
      <c r="B38" s="9"/>
      <c r="C38" s="9"/>
      <c r="D38" s="9"/>
      <c r="E38" s="10"/>
      <c r="F38" s="10"/>
      <c r="G38" s="11" t="str">
        <f t="shared" si="2"/>
        <v/>
      </c>
      <c r="H38" s="11" t="str">
        <f t="shared" si="3"/>
        <v/>
      </c>
    </row>
    <row r="39" spans="1:8" ht="15">
      <c r="A39" s="8"/>
      <c r="B39" s="9"/>
      <c r="C39" s="9"/>
      <c r="D39" s="9"/>
      <c r="E39" s="10"/>
      <c r="F39" s="10"/>
      <c r="G39" s="11" t="str">
        <f t="shared" si="2"/>
        <v/>
      </c>
      <c r="H39" s="11" t="str">
        <f t="shared" si="3"/>
        <v/>
      </c>
    </row>
    <row r="40" spans="1:8" ht="15">
      <c r="A40" s="8"/>
      <c r="B40" s="9"/>
      <c r="C40" s="9"/>
      <c r="D40" s="9"/>
      <c r="E40" s="10"/>
      <c r="F40" s="10"/>
      <c r="G40" s="11" t="str">
        <f t="shared" si="2"/>
        <v/>
      </c>
      <c r="H40" s="11" t="str">
        <f t="shared" si="3"/>
        <v/>
      </c>
    </row>
    <row r="41" spans="1:8" ht="15">
      <c r="A41" s="8"/>
      <c r="B41" s="9"/>
      <c r="C41" s="9"/>
      <c r="D41" s="9"/>
      <c r="E41" s="10"/>
      <c r="F41" s="10"/>
      <c r="G41" s="11" t="str">
        <f t="shared" si="2"/>
        <v/>
      </c>
      <c r="H41" s="11" t="str">
        <f t="shared" si="3"/>
        <v/>
      </c>
    </row>
    <row r="42" spans="1:8" ht="15">
      <c r="A42" s="8"/>
      <c r="B42" s="9"/>
      <c r="C42" s="9"/>
      <c r="D42" s="9"/>
      <c r="E42" s="10"/>
      <c r="F42" s="10"/>
      <c r="G42" s="11" t="str">
        <f t="shared" si="2"/>
        <v/>
      </c>
      <c r="H42" s="11" t="str">
        <f t="shared" si="3"/>
        <v/>
      </c>
    </row>
    <row r="43" spans="1:8" ht="15">
      <c r="A43" s="8"/>
      <c r="B43" s="9"/>
      <c r="C43" s="9"/>
      <c r="D43" s="9"/>
      <c r="E43" s="10"/>
      <c r="F43" s="10"/>
      <c r="G43" s="11" t="str">
        <f t="shared" si="2"/>
        <v/>
      </c>
      <c r="H43" s="11" t="str">
        <f t="shared" si="3"/>
        <v/>
      </c>
    </row>
    <row r="44" spans="1:8" ht="15">
      <c r="A44" s="8"/>
      <c r="B44" s="9"/>
      <c r="C44" s="9"/>
      <c r="D44" s="9"/>
      <c r="E44" s="10"/>
      <c r="F44" s="10"/>
      <c r="G44" s="11" t="str">
        <f t="shared" si="2"/>
        <v/>
      </c>
      <c r="H44" s="11" t="str">
        <f t="shared" si="3"/>
        <v/>
      </c>
    </row>
    <row r="45" spans="1:8" ht="15">
      <c r="A45" s="8"/>
      <c r="B45" s="9"/>
      <c r="C45" s="9"/>
      <c r="D45" s="9"/>
      <c r="E45" s="10"/>
      <c r="F45" s="10"/>
      <c r="G45" s="11" t="str">
        <f t="shared" si="2"/>
        <v/>
      </c>
      <c r="H45" s="11" t="str">
        <f t="shared" si="3"/>
        <v/>
      </c>
    </row>
    <row r="46" spans="1:8" ht="15">
      <c r="A46" s="8"/>
      <c r="B46" s="9"/>
      <c r="C46" s="9"/>
      <c r="D46" s="9"/>
      <c r="E46" s="10"/>
      <c r="F46" s="10"/>
      <c r="G46" s="11" t="str">
        <f t="shared" si="2"/>
        <v/>
      </c>
      <c r="H46" s="11" t="str">
        <f t="shared" si="3"/>
        <v/>
      </c>
    </row>
    <row r="47" spans="1:8" ht="15">
      <c r="A47" s="8"/>
      <c r="B47" s="9"/>
      <c r="C47" s="9"/>
      <c r="D47" s="9"/>
      <c r="E47" s="10"/>
      <c r="F47" s="10"/>
      <c r="G47" s="11" t="str">
        <f t="shared" si="2"/>
        <v/>
      </c>
      <c r="H47" s="11" t="str">
        <f t="shared" si="3"/>
        <v/>
      </c>
    </row>
    <row r="48" spans="1:8" ht="15">
      <c r="A48" s="8"/>
      <c r="B48" s="9"/>
      <c r="C48" s="9"/>
      <c r="D48" s="9"/>
      <c r="E48" s="10"/>
      <c r="F48" s="10"/>
      <c r="G48" s="11" t="str">
        <f t="shared" si="2"/>
        <v/>
      </c>
      <c r="H48" s="11" t="str">
        <f t="shared" si="3"/>
        <v/>
      </c>
    </row>
    <row r="49" spans="1:8" ht="15">
      <c r="A49" s="8"/>
      <c r="B49" s="9"/>
      <c r="C49" s="9"/>
      <c r="D49" s="9"/>
      <c r="E49" s="10"/>
      <c r="F49" s="10"/>
      <c r="G49" s="11" t="str">
        <f t="shared" si="2"/>
        <v/>
      </c>
      <c r="H49" s="11" t="str">
        <f t="shared" si="3"/>
        <v/>
      </c>
    </row>
    <row r="50" spans="1:8" ht="15">
      <c r="A50" s="8"/>
      <c r="B50" s="9"/>
      <c r="C50" s="9"/>
      <c r="D50" s="9"/>
      <c r="E50" s="10"/>
      <c r="F50" s="10"/>
      <c r="G50" s="11" t="str">
        <f t="shared" si="2"/>
        <v/>
      </c>
      <c r="H50" s="11" t="str">
        <f t="shared" si="3"/>
        <v/>
      </c>
    </row>
    <row r="51" spans="1:8" ht="15">
      <c r="A51" s="8"/>
      <c r="B51" s="9"/>
      <c r="C51" s="9"/>
      <c r="D51" s="9"/>
      <c r="E51" s="10"/>
      <c r="F51" s="10"/>
      <c r="G51" s="11" t="str">
        <f t="shared" si="2"/>
        <v/>
      </c>
      <c r="H51" s="11" t="str">
        <f t="shared" si="3"/>
        <v/>
      </c>
    </row>
    <row r="52" spans="1:8" ht="15">
      <c r="A52" s="8"/>
      <c r="B52" s="9"/>
      <c r="C52" s="9"/>
      <c r="D52" s="9"/>
      <c r="E52" s="10"/>
      <c r="F52" s="10"/>
      <c r="G52" s="11" t="str">
        <f t="shared" si="2"/>
        <v/>
      </c>
      <c r="H52" s="11" t="str">
        <f t="shared" si="3"/>
        <v/>
      </c>
    </row>
    <row r="53" spans="1:8" ht="15">
      <c r="A53" s="8"/>
      <c r="B53" s="9"/>
      <c r="C53" s="9"/>
      <c r="D53" s="9"/>
      <c r="E53" s="10"/>
      <c r="F53" s="10"/>
      <c r="G53" s="11" t="str">
        <f t="shared" si="2"/>
        <v/>
      </c>
      <c r="H53" s="11" t="str">
        <f t="shared" si="3"/>
        <v/>
      </c>
    </row>
    <row r="54" spans="1:8" ht="15">
      <c r="A54" s="8"/>
      <c r="B54" s="9"/>
      <c r="C54" s="9"/>
      <c r="D54" s="9"/>
      <c r="E54" s="10"/>
      <c r="F54" s="10"/>
      <c r="G54" s="11" t="str">
        <f t="shared" si="2"/>
        <v/>
      </c>
      <c r="H54" s="11" t="str">
        <f t="shared" si="3"/>
        <v/>
      </c>
    </row>
    <row r="55" spans="1:8" ht="15">
      <c r="A55" s="8"/>
      <c r="B55" s="9"/>
      <c r="C55" s="9"/>
      <c r="D55" s="9"/>
      <c r="E55" s="10"/>
      <c r="F55" s="10"/>
      <c r="G55" s="11" t="str">
        <f t="shared" si="2"/>
        <v/>
      </c>
      <c r="H55" s="11" t="str">
        <f t="shared" si="3"/>
        <v/>
      </c>
    </row>
    <row r="56" spans="1:8" ht="15">
      <c r="A56" s="8"/>
      <c r="B56" s="9"/>
      <c r="C56" s="9"/>
      <c r="D56" s="9"/>
      <c r="E56" s="10"/>
      <c r="F56" s="10"/>
      <c r="G56" s="11" t="str">
        <f t="shared" si="2"/>
        <v/>
      </c>
      <c r="H56" s="11" t="str">
        <f t="shared" si="3"/>
        <v/>
      </c>
    </row>
    <row r="57" spans="1:8" ht="15">
      <c r="A57" s="8"/>
      <c r="B57" s="9"/>
      <c r="C57" s="9"/>
      <c r="D57" s="9"/>
      <c r="E57" s="10"/>
      <c r="F57" s="10"/>
      <c r="G57" s="11" t="str">
        <f t="shared" si="2"/>
        <v/>
      </c>
      <c r="H57" s="11" t="str">
        <f t="shared" si="3"/>
        <v/>
      </c>
    </row>
    <row r="58" spans="1:8" ht="15">
      <c r="A58" s="8"/>
      <c r="B58" s="9"/>
      <c r="C58" s="9"/>
      <c r="D58" s="9"/>
      <c r="E58" s="10"/>
      <c r="F58" s="10"/>
      <c r="G58" s="11" t="str">
        <f t="shared" si="2"/>
        <v/>
      </c>
      <c r="H58" s="11" t="str">
        <f t="shared" si="3"/>
        <v/>
      </c>
    </row>
    <row r="59" spans="1:8" ht="15">
      <c r="A59" s="8"/>
      <c r="B59" s="9"/>
      <c r="C59" s="9"/>
      <c r="D59" s="9"/>
      <c r="E59" s="10"/>
      <c r="F59" s="10"/>
      <c r="G59" s="11" t="str">
        <f t="shared" si="2"/>
        <v/>
      </c>
      <c r="H59" s="11" t="str">
        <f t="shared" si="3"/>
        <v/>
      </c>
    </row>
    <row r="60" spans="1:8" ht="15">
      <c r="A60" s="8"/>
      <c r="B60" s="9"/>
      <c r="C60" s="9"/>
      <c r="D60" s="9"/>
      <c r="E60" s="10"/>
      <c r="F60" s="10"/>
      <c r="G60" s="11" t="str">
        <f t="shared" si="2"/>
        <v/>
      </c>
      <c r="H60" s="11" t="str">
        <f t="shared" si="3"/>
        <v/>
      </c>
    </row>
    <row r="61" spans="1:8" ht="15">
      <c r="A61" s="8"/>
      <c r="B61" s="9"/>
      <c r="C61" s="9"/>
      <c r="D61" s="9"/>
      <c r="E61" s="10"/>
      <c r="F61" s="10"/>
      <c r="G61" s="11" t="str">
        <f t="shared" si="2"/>
        <v/>
      </c>
      <c r="H61" s="11" t="str">
        <f t="shared" si="3"/>
        <v/>
      </c>
    </row>
    <row r="62" spans="1:8" ht="15">
      <c r="A62" s="8"/>
      <c r="B62" s="9"/>
      <c r="C62" s="9"/>
      <c r="D62" s="9"/>
      <c r="E62" s="10"/>
      <c r="F62" s="10"/>
      <c r="G62" s="11" t="str">
        <f t="shared" si="2"/>
        <v/>
      </c>
      <c r="H62" s="11" t="str">
        <f t="shared" si="3"/>
        <v/>
      </c>
    </row>
    <row r="63" spans="1:8" ht="15">
      <c r="A63" s="8"/>
      <c r="B63" s="9"/>
      <c r="C63" s="9"/>
      <c r="D63" s="9"/>
      <c r="E63" s="10"/>
      <c r="F63" s="10"/>
      <c r="G63" s="11" t="str">
        <f t="shared" si="2"/>
        <v/>
      </c>
      <c r="H63" s="11" t="str">
        <f t="shared" si="3"/>
        <v/>
      </c>
    </row>
    <row r="64" spans="1:8" ht="15">
      <c r="A64" s="8"/>
      <c r="B64" s="9"/>
      <c r="C64" s="9"/>
      <c r="D64" s="9"/>
      <c r="E64" s="10"/>
      <c r="F64" s="10"/>
      <c r="G64" s="11" t="str">
        <f t="shared" si="2"/>
        <v/>
      </c>
      <c r="H64" s="11" t="str">
        <f t="shared" si="3"/>
        <v/>
      </c>
    </row>
    <row r="65" spans="1:8" ht="15">
      <c r="A65" s="8"/>
      <c r="B65" s="9"/>
      <c r="C65" s="9"/>
      <c r="D65" s="9"/>
      <c r="E65" s="10"/>
      <c r="F65" s="10"/>
      <c r="G65" s="11" t="str">
        <f t="shared" si="2"/>
        <v/>
      </c>
      <c r="H65" s="11" t="str">
        <f t="shared" si="3"/>
        <v/>
      </c>
    </row>
    <row r="66" spans="1:8" ht="15">
      <c r="A66" s="8"/>
      <c r="B66" s="9"/>
      <c r="C66" s="9"/>
      <c r="D66" s="9"/>
      <c r="E66" s="10"/>
      <c r="F66" s="10"/>
      <c r="G66" s="11" t="str">
        <f t="shared" ref="G66:G97" si="4">IF(A66="","",B66&amp;"_"&amp;TEXT(A66,"YYYY-MM-DD"))</f>
        <v/>
      </c>
      <c r="H66" s="11" t="str">
        <f t="shared" ref="H66:H97" si="5">IF(A66="","",D66&amp;IF(E66&lt;&gt;""," "&amp;TEXT(E66,"hh:mm"),"")&amp;IF(F66&lt;&gt;""," - "&amp;TEXT(F66,"hh:mm"),"")&amp;"("&amp;C66&amp;")")</f>
        <v/>
      </c>
    </row>
    <row r="67" spans="1:8" ht="15">
      <c r="A67" s="8"/>
      <c r="B67" s="9"/>
      <c r="C67" s="9"/>
      <c r="D67" s="9"/>
      <c r="E67" s="10"/>
      <c r="F67" s="10"/>
      <c r="G67" s="11" t="str">
        <f t="shared" si="4"/>
        <v/>
      </c>
      <c r="H67" s="11" t="str">
        <f t="shared" si="5"/>
        <v/>
      </c>
    </row>
    <row r="68" spans="1:8" ht="15">
      <c r="A68" s="8"/>
      <c r="B68" s="9"/>
      <c r="C68" s="9"/>
      <c r="D68" s="9"/>
      <c r="E68" s="10"/>
      <c r="F68" s="10"/>
      <c r="G68" s="11" t="str">
        <f t="shared" si="4"/>
        <v/>
      </c>
      <c r="H68" s="11" t="str">
        <f t="shared" si="5"/>
        <v/>
      </c>
    </row>
    <row r="69" spans="1:8" ht="15">
      <c r="A69" s="8"/>
      <c r="B69" s="9"/>
      <c r="C69" s="9"/>
      <c r="D69" s="9"/>
      <c r="E69" s="10"/>
      <c r="F69" s="10"/>
      <c r="G69" s="11" t="str">
        <f t="shared" si="4"/>
        <v/>
      </c>
      <c r="H69" s="11" t="str">
        <f t="shared" si="5"/>
        <v/>
      </c>
    </row>
    <row r="70" spans="1:8" ht="15">
      <c r="A70" s="8"/>
      <c r="B70" s="9"/>
      <c r="C70" s="9"/>
      <c r="D70" s="9"/>
      <c r="E70" s="10"/>
      <c r="F70" s="10"/>
      <c r="G70" s="11" t="str">
        <f t="shared" si="4"/>
        <v/>
      </c>
      <c r="H70" s="11" t="str">
        <f t="shared" si="5"/>
        <v/>
      </c>
    </row>
    <row r="71" spans="1:8" ht="15">
      <c r="A71" s="8"/>
      <c r="B71" s="9"/>
      <c r="C71" s="9"/>
      <c r="D71" s="9"/>
      <c r="E71" s="10"/>
      <c r="F71" s="10"/>
      <c r="G71" s="11" t="str">
        <f t="shared" si="4"/>
        <v/>
      </c>
      <c r="H71" s="11" t="str">
        <f t="shared" si="5"/>
        <v/>
      </c>
    </row>
    <row r="72" spans="1:8" ht="15">
      <c r="A72" s="8"/>
      <c r="B72" s="9"/>
      <c r="C72" s="9"/>
      <c r="D72" s="9"/>
      <c r="E72" s="10"/>
      <c r="F72" s="10"/>
      <c r="G72" s="11" t="str">
        <f t="shared" si="4"/>
        <v/>
      </c>
      <c r="H72" s="11" t="str">
        <f t="shared" si="5"/>
        <v/>
      </c>
    </row>
    <row r="73" spans="1:8" ht="15">
      <c r="A73" s="8"/>
      <c r="B73" s="9"/>
      <c r="C73" s="9"/>
      <c r="D73" s="9"/>
      <c r="E73" s="10"/>
      <c r="F73" s="10"/>
      <c r="G73" s="11" t="str">
        <f t="shared" si="4"/>
        <v/>
      </c>
      <c r="H73" s="11" t="str">
        <f t="shared" si="5"/>
        <v/>
      </c>
    </row>
    <row r="74" spans="1:8" ht="15">
      <c r="A74" s="8"/>
      <c r="B74" s="9"/>
      <c r="C74" s="9"/>
      <c r="D74" s="9"/>
      <c r="E74" s="10"/>
      <c r="F74" s="10"/>
      <c r="G74" s="11" t="str">
        <f t="shared" si="4"/>
        <v/>
      </c>
      <c r="H74" s="11" t="str">
        <f t="shared" si="5"/>
        <v/>
      </c>
    </row>
    <row r="75" spans="1:8" ht="15">
      <c r="A75" s="8"/>
      <c r="B75" s="9"/>
      <c r="C75" s="9"/>
      <c r="D75" s="9"/>
      <c r="E75" s="10"/>
      <c r="F75" s="10"/>
      <c r="G75" s="11" t="str">
        <f t="shared" si="4"/>
        <v/>
      </c>
      <c r="H75" s="11" t="str">
        <f t="shared" si="5"/>
        <v/>
      </c>
    </row>
    <row r="76" spans="1:8" ht="15">
      <c r="A76" s="8"/>
      <c r="B76" s="9"/>
      <c r="C76" s="9"/>
      <c r="D76" s="9"/>
      <c r="E76" s="10"/>
      <c r="F76" s="10"/>
      <c r="G76" s="11" t="str">
        <f t="shared" si="4"/>
        <v/>
      </c>
      <c r="H76" s="11" t="str">
        <f t="shared" si="5"/>
        <v/>
      </c>
    </row>
    <row r="77" spans="1:8" ht="15">
      <c r="A77" s="8"/>
      <c r="B77" s="9"/>
      <c r="C77" s="9"/>
      <c r="D77" s="9"/>
      <c r="E77" s="10"/>
      <c r="F77" s="10"/>
      <c r="G77" s="11" t="str">
        <f t="shared" si="4"/>
        <v/>
      </c>
      <c r="H77" s="11" t="str">
        <f t="shared" si="5"/>
        <v/>
      </c>
    </row>
    <row r="78" spans="1:8" ht="15">
      <c r="A78" s="8"/>
      <c r="B78" s="9"/>
      <c r="C78" s="9"/>
      <c r="D78" s="9"/>
      <c r="E78" s="10"/>
      <c r="F78" s="10"/>
      <c r="G78" s="11" t="str">
        <f t="shared" si="4"/>
        <v/>
      </c>
      <c r="H78" s="11" t="str">
        <f t="shared" si="5"/>
        <v/>
      </c>
    </row>
    <row r="79" spans="1:8" ht="15">
      <c r="A79" s="8"/>
      <c r="B79" s="9"/>
      <c r="C79" s="9"/>
      <c r="D79" s="9"/>
      <c r="E79" s="10"/>
      <c r="F79" s="10"/>
      <c r="G79" s="11" t="str">
        <f t="shared" si="4"/>
        <v/>
      </c>
      <c r="H79" s="11" t="str">
        <f t="shared" si="5"/>
        <v/>
      </c>
    </row>
    <row r="80" spans="1:8" ht="15">
      <c r="A80" s="8"/>
      <c r="B80" s="9"/>
      <c r="C80" s="9"/>
      <c r="D80" s="9"/>
      <c r="E80" s="10"/>
      <c r="F80" s="10"/>
      <c r="G80" s="11" t="str">
        <f t="shared" si="4"/>
        <v/>
      </c>
      <c r="H80" s="11" t="str">
        <f t="shared" si="5"/>
        <v/>
      </c>
    </row>
    <row r="81" spans="1:8" ht="15">
      <c r="A81" s="8"/>
      <c r="B81" s="9"/>
      <c r="C81" s="9"/>
      <c r="D81" s="9"/>
      <c r="E81" s="10"/>
      <c r="F81" s="10"/>
      <c r="G81" s="11" t="str">
        <f t="shared" si="4"/>
        <v/>
      </c>
      <c r="H81" s="11" t="str">
        <f t="shared" si="5"/>
        <v/>
      </c>
    </row>
    <row r="82" spans="1:8" ht="15">
      <c r="A82" s="8"/>
      <c r="B82" s="9"/>
      <c r="C82" s="9"/>
      <c r="D82" s="9"/>
      <c r="E82" s="10"/>
      <c r="F82" s="10"/>
      <c r="G82" s="11" t="str">
        <f t="shared" si="4"/>
        <v/>
      </c>
      <c r="H82" s="11" t="str">
        <f t="shared" si="5"/>
        <v/>
      </c>
    </row>
    <row r="83" spans="1:8" ht="15">
      <c r="A83" s="8"/>
      <c r="B83" s="9"/>
      <c r="C83" s="9"/>
      <c r="D83" s="9"/>
      <c r="E83" s="10"/>
      <c r="F83" s="10"/>
      <c r="G83" s="11" t="str">
        <f t="shared" si="4"/>
        <v/>
      </c>
      <c r="H83" s="11" t="str">
        <f t="shared" si="5"/>
        <v/>
      </c>
    </row>
    <row r="84" spans="1:8" ht="15">
      <c r="A84" s="8"/>
      <c r="B84" s="9"/>
      <c r="C84" s="9"/>
      <c r="D84" s="9"/>
      <c r="E84" s="10"/>
      <c r="F84" s="10"/>
      <c r="G84" s="11" t="str">
        <f t="shared" si="4"/>
        <v/>
      </c>
      <c r="H84" s="11" t="str">
        <f t="shared" si="5"/>
        <v/>
      </c>
    </row>
    <row r="85" spans="1:8" ht="15">
      <c r="A85" s="8"/>
      <c r="B85" s="9"/>
      <c r="C85" s="9"/>
      <c r="D85" s="9"/>
      <c r="E85" s="10"/>
      <c r="F85" s="10"/>
      <c r="G85" s="11" t="str">
        <f t="shared" si="4"/>
        <v/>
      </c>
      <c r="H85" s="11" t="str">
        <f t="shared" si="5"/>
        <v/>
      </c>
    </row>
    <row r="86" spans="1:8" ht="15">
      <c r="A86" s="8"/>
      <c r="B86" s="9"/>
      <c r="C86" s="9"/>
      <c r="D86" s="9"/>
      <c r="E86" s="10"/>
      <c r="F86" s="10"/>
      <c r="G86" s="11" t="str">
        <f t="shared" si="4"/>
        <v/>
      </c>
      <c r="H86" s="11" t="str">
        <f t="shared" si="5"/>
        <v/>
      </c>
    </row>
    <row r="87" spans="1:8" ht="15">
      <c r="A87" s="8"/>
      <c r="B87" s="9"/>
      <c r="C87" s="9"/>
      <c r="D87" s="9"/>
      <c r="E87" s="10"/>
      <c r="F87" s="10"/>
      <c r="G87" s="11" t="str">
        <f t="shared" si="4"/>
        <v/>
      </c>
      <c r="H87" s="11" t="str">
        <f t="shared" si="5"/>
        <v/>
      </c>
    </row>
    <row r="88" spans="1:8" ht="15">
      <c r="A88" s="8"/>
      <c r="B88" s="9"/>
      <c r="C88" s="9"/>
      <c r="D88" s="9"/>
      <c r="E88" s="10"/>
      <c r="F88" s="10"/>
      <c r="G88" s="11" t="str">
        <f t="shared" si="4"/>
        <v/>
      </c>
      <c r="H88" s="11" t="str">
        <f t="shared" si="5"/>
        <v/>
      </c>
    </row>
    <row r="89" spans="1:8" ht="15">
      <c r="A89" s="8"/>
      <c r="B89" s="9"/>
      <c r="C89" s="9"/>
      <c r="D89" s="9"/>
      <c r="E89" s="10"/>
      <c r="F89" s="10"/>
      <c r="G89" s="11" t="str">
        <f t="shared" si="4"/>
        <v/>
      </c>
      <c r="H89" s="11" t="str">
        <f t="shared" si="5"/>
        <v/>
      </c>
    </row>
    <row r="90" spans="1:8" ht="15">
      <c r="A90" s="8"/>
      <c r="B90" s="9"/>
      <c r="C90" s="9"/>
      <c r="D90" s="9"/>
      <c r="E90" s="10"/>
      <c r="F90" s="10"/>
      <c r="G90" s="11" t="str">
        <f t="shared" si="4"/>
        <v/>
      </c>
      <c r="H90" s="11" t="str">
        <f t="shared" si="5"/>
        <v/>
      </c>
    </row>
    <row r="91" spans="1:8" ht="15">
      <c r="A91" s="8"/>
      <c r="B91" s="9"/>
      <c r="C91" s="9"/>
      <c r="D91" s="9"/>
      <c r="E91" s="10"/>
      <c r="F91" s="10"/>
      <c r="G91" s="11" t="str">
        <f t="shared" si="4"/>
        <v/>
      </c>
      <c r="H91" s="11" t="str">
        <f t="shared" si="5"/>
        <v/>
      </c>
    </row>
    <row r="92" spans="1:8" ht="15">
      <c r="A92" s="8"/>
      <c r="B92" s="9"/>
      <c r="C92" s="9"/>
      <c r="D92" s="9"/>
      <c r="E92" s="10"/>
      <c r="F92" s="10"/>
      <c r="G92" s="11" t="str">
        <f t="shared" si="4"/>
        <v/>
      </c>
      <c r="H92" s="11" t="str">
        <f t="shared" si="5"/>
        <v/>
      </c>
    </row>
    <row r="93" spans="1:8" ht="15">
      <c r="A93" s="8"/>
      <c r="B93" s="9"/>
      <c r="C93" s="9"/>
      <c r="D93" s="9"/>
      <c r="E93" s="10"/>
      <c r="F93" s="10"/>
      <c r="G93" s="11" t="str">
        <f t="shared" si="4"/>
        <v/>
      </c>
      <c r="H93" s="11" t="str">
        <f t="shared" si="5"/>
        <v/>
      </c>
    </row>
    <row r="94" spans="1:8" ht="15">
      <c r="A94" s="8"/>
      <c r="B94" s="9"/>
      <c r="C94" s="9"/>
      <c r="D94" s="9"/>
      <c r="E94" s="10"/>
      <c r="F94" s="10"/>
      <c r="G94" s="11" t="str">
        <f t="shared" si="4"/>
        <v/>
      </c>
      <c r="H94" s="11" t="str">
        <f t="shared" si="5"/>
        <v/>
      </c>
    </row>
    <row r="95" spans="1:8" ht="15">
      <c r="A95" s="8"/>
      <c r="B95" s="9"/>
      <c r="C95" s="9"/>
      <c r="D95" s="9"/>
      <c r="E95" s="10"/>
      <c r="F95" s="10"/>
      <c r="G95" s="11" t="str">
        <f t="shared" si="4"/>
        <v/>
      </c>
      <c r="H95" s="11" t="str">
        <f t="shared" si="5"/>
        <v/>
      </c>
    </row>
    <row r="96" spans="1:8" ht="15">
      <c r="A96" s="8"/>
      <c r="B96" s="9"/>
      <c r="C96" s="9"/>
      <c r="D96" s="9"/>
      <c r="E96" s="10"/>
      <c r="F96" s="10"/>
      <c r="G96" s="11" t="str">
        <f t="shared" si="4"/>
        <v/>
      </c>
      <c r="H96" s="11" t="str">
        <f t="shared" si="5"/>
        <v/>
      </c>
    </row>
    <row r="97" spans="1:8" ht="15">
      <c r="A97" s="8"/>
      <c r="B97" s="9"/>
      <c r="C97" s="9"/>
      <c r="D97" s="9"/>
      <c r="E97" s="10"/>
      <c r="F97" s="10"/>
      <c r="G97" s="11" t="str">
        <f t="shared" si="4"/>
        <v/>
      </c>
      <c r="H97" s="11" t="str">
        <f t="shared" si="5"/>
        <v/>
      </c>
    </row>
    <row r="98" spans="1:8" ht="15">
      <c r="A98" s="8"/>
      <c r="B98" s="9"/>
      <c r="C98" s="9"/>
      <c r="D98" s="9"/>
      <c r="E98" s="10"/>
      <c r="F98" s="10"/>
      <c r="G98" s="11" t="str">
        <f t="shared" ref="G98:G129" si="6">IF(A98="","",B98&amp;"_"&amp;TEXT(A98,"YYYY-MM-DD"))</f>
        <v/>
      </c>
      <c r="H98" s="11" t="str">
        <f t="shared" ref="H98:H129" si="7">IF(A98="","",D98&amp;IF(E98&lt;&gt;""," "&amp;TEXT(E98,"hh:mm"),"")&amp;IF(F98&lt;&gt;""," - "&amp;TEXT(F98,"hh:mm"),"")&amp;"("&amp;C98&amp;")")</f>
        <v/>
      </c>
    </row>
    <row r="99" spans="1:8" ht="15">
      <c r="A99" s="8"/>
      <c r="B99" s="9"/>
      <c r="C99" s="9"/>
      <c r="D99" s="9"/>
      <c r="E99" s="10"/>
      <c r="F99" s="10"/>
      <c r="G99" s="11" t="str">
        <f t="shared" si="6"/>
        <v/>
      </c>
      <c r="H99" s="11" t="str">
        <f t="shared" si="7"/>
        <v/>
      </c>
    </row>
    <row r="100" spans="1:8" ht="15">
      <c r="A100" s="8"/>
      <c r="B100" s="9"/>
      <c r="C100" s="9"/>
      <c r="D100" s="9"/>
      <c r="E100" s="10"/>
      <c r="F100" s="10"/>
      <c r="G100" s="11" t="str">
        <f t="shared" si="6"/>
        <v/>
      </c>
      <c r="H100" s="11" t="str">
        <f t="shared" si="7"/>
        <v/>
      </c>
    </row>
    <row r="101" spans="1:8" ht="15">
      <c r="A101" s="8"/>
      <c r="B101" s="9"/>
      <c r="C101" s="9"/>
      <c r="D101" s="9"/>
      <c r="E101" s="10"/>
      <c r="F101" s="10"/>
      <c r="G101" s="11" t="str">
        <f t="shared" si="6"/>
        <v/>
      </c>
      <c r="H101" s="11" t="str">
        <f t="shared" si="7"/>
        <v/>
      </c>
    </row>
    <row r="102" spans="1:8" ht="15">
      <c r="A102" s="8"/>
      <c r="B102" s="9"/>
      <c r="C102" s="9"/>
      <c r="D102" s="9"/>
      <c r="E102" s="10"/>
      <c r="F102" s="10"/>
      <c r="G102" s="11" t="str">
        <f t="shared" si="6"/>
        <v/>
      </c>
      <c r="H102" s="11" t="str">
        <f t="shared" si="7"/>
        <v/>
      </c>
    </row>
    <row r="103" spans="1:8" ht="15">
      <c r="A103" s="8"/>
      <c r="B103" s="9"/>
      <c r="C103" s="9"/>
      <c r="D103" s="9"/>
      <c r="E103" s="10"/>
      <c r="F103" s="10"/>
      <c r="G103" s="11" t="str">
        <f t="shared" si="6"/>
        <v/>
      </c>
      <c r="H103" s="11" t="str">
        <f t="shared" si="7"/>
        <v/>
      </c>
    </row>
    <row r="104" spans="1:8" ht="15">
      <c r="A104" s="8"/>
      <c r="B104" s="9"/>
      <c r="C104" s="9"/>
      <c r="D104" s="9"/>
      <c r="E104" s="10"/>
      <c r="F104" s="10"/>
      <c r="G104" s="11" t="str">
        <f t="shared" si="6"/>
        <v/>
      </c>
      <c r="H104" s="11" t="str">
        <f t="shared" si="7"/>
        <v/>
      </c>
    </row>
    <row r="105" spans="1:8" ht="15">
      <c r="A105" s="8"/>
      <c r="B105" s="9"/>
      <c r="C105" s="9"/>
      <c r="D105" s="9"/>
      <c r="E105" s="10"/>
      <c r="F105" s="10"/>
      <c r="G105" s="11" t="str">
        <f t="shared" si="6"/>
        <v/>
      </c>
      <c r="H105" s="11" t="str">
        <f t="shared" si="7"/>
        <v/>
      </c>
    </row>
    <row r="106" spans="1:8" ht="15">
      <c r="A106" s="8"/>
      <c r="B106" s="9"/>
      <c r="C106" s="9"/>
      <c r="D106" s="9"/>
      <c r="E106" s="10"/>
      <c r="F106" s="10"/>
      <c r="G106" s="11" t="str">
        <f t="shared" si="6"/>
        <v/>
      </c>
      <c r="H106" s="11" t="str">
        <f t="shared" si="7"/>
        <v/>
      </c>
    </row>
    <row r="107" spans="1:8" ht="15">
      <c r="A107" s="8"/>
      <c r="B107" s="9"/>
      <c r="C107" s="9"/>
      <c r="D107" s="9"/>
      <c r="E107" s="10"/>
      <c r="F107" s="10"/>
      <c r="G107" s="11" t="str">
        <f t="shared" si="6"/>
        <v/>
      </c>
      <c r="H107" s="11" t="str">
        <f t="shared" si="7"/>
        <v/>
      </c>
    </row>
    <row r="108" spans="1:8" ht="15">
      <c r="A108" s="8"/>
      <c r="B108" s="9"/>
      <c r="C108" s="9"/>
      <c r="D108" s="9"/>
      <c r="E108" s="10"/>
      <c r="F108" s="10"/>
      <c r="G108" s="11" t="str">
        <f t="shared" si="6"/>
        <v/>
      </c>
      <c r="H108" s="11" t="str">
        <f t="shared" si="7"/>
        <v/>
      </c>
    </row>
    <row r="109" spans="1:8" ht="15">
      <c r="A109" s="8"/>
      <c r="B109" s="9"/>
      <c r="C109" s="9"/>
      <c r="D109" s="9"/>
      <c r="E109" s="10"/>
      <c r="F109" s="10"/>
      <c r="G109" s="11" t="str">
        <f t="shared" si="6"/>
        <v/>
      </c>
      <c r="H109" s="11" t="str">
        <f t="shared" si="7"/>
        <v/>
      </c>
    </row>
    <row r="110" spans="1:8" ht="15">
      <c r="A110" s="8"/>
      <c r="B110" s="9"/>
      <c r="C110" s="9"/>
      <c r="D110" s="9"/>
      <c r="E110" s="10"/>
      <c r="F110" s="10"/>
      <c r="G110" s="11" t="str">
        <f t="shared" si="6"/>
        <v/>
      </c>
      <c r="H110" s="11" t="str">
        <f t="shared" si="7"/>
        <v/>
      </c>
    </row>
    <row r="111" spans="1:8" ht="15">
      <c r="A111" s="8"/>
      <c r="B111" s="9"/>
      <c r="C111" s="9"/>
      <c r="D111" s="9"/>
      <c r="E111" s="10"/>
      <c r="F111" s="10"/>
      <c r="G111" s="11" t="str">
        <f t="shared" si="6"/>
        <v/>
      </c>
      <c r="H111" s="11" t="str">
        <f t="shared" si="7"/>
        <v/>
      </c>
    </row>
    <row r="112" spans="1:8" ht="15">
      <c r="A112" s="8"/>
      <c r="B112" s="9"/>
      <c r="C112" s="9"/>
      <c r="D112" s="9"/>
      <c r="E112" s="10"/>
      <c r="F112" s="10"/>
      <c r="G112" s="11" t="str">
        <f t="shared" si="6"/>
        <v/>
      </c>
      <c r="H112" s="11" t="str">
        <f t="shared" si="7"/>
        <v/>
      </c>
    </row>
    <row r="113" spans="1:8" ht="15">
      <c r="A113" s="8"/>
      <c r="B113" s="9"/>
      <c r="C113" s="9"/>
      <c r="D113" s="9"/>
      <c r="E113" s="10"/>
      <c r="F113" s="10"/>
      <c r="G113" s="11" t="str">
        <f t="shared" si="6"/>
        <v/>
      </c>
      <c r="H113" s="11" t="str">
        <f t="shared" si="7"/>
        <v/>
      </c>
    </row>
    <row r="114" spans="1:8" ht="15">
      <c r="A114" s="8"/>
      <c r="B114" s="9"/>
      <c r="C114" s="9"/>
      <c r="D114" s="9"/>
      <c r="E114" s="10"/>
      <c r="F114" s="10"/>
      <c r="G114" s="11" t="str">
        <f t="shared" si="6"/>
        <v/>
      </c>
      <c r="H114" s="11" t="str">
        <f t="shared" si="7"/>
        <v/>
      </c>
    </row>
    <row r="115" spans="1:8" ht="15">
      <c r="A115" s="8"/>
      <c r="B115" s="9"/>
      <c r="C115" s="9"/>
      <c r="D115" s="9"/>
      <c r="E115" s="10"/>
      <c r="F115" s="10"/>
      <c r="G115" s="11" t="str">
        <f t="shared" si="6"/>
        <v/>
      </c>
      <c r="H115" s="11" t="str">
        <f t="shared" si="7"/>
        <v/>
      </c>
    </row>
    <row r="116" spans="1:8" ht="15">
      <c r="A116" s="8"/>
      <c r="B116" s="9"/>
      <c r="C116" s="9"/>
      <c r="D116" s="9"/>
      <c r="E116" s="10"/>
      <c r="F116" s="10"/>
      <c r="G116" s="11" t="str">
        <f t="shared" si="6"/>
        <v/>
      </c>
      <c r="H116" s="11" t="str">
        <f t="shared" si="7"/>
        <v/>
      </c>
    </row>
    <row r="117" spans="1:8" ht="15">
      <c r="A117" s="8"/>
      <c r="B117" s="9"/>
      <c r="C117" s="9"/>
      <c r="D117" s="9"/>
      <c r="E117" s="10"/>
      <c r="F117" s="10"/>
      <c r="G117" s="11" t="str">
        <f t="shared" si="6"/>
        <v/>
      </c>
      <c r="H117" s="11" t="str">
        <f t="shared" si="7"/>
        <v/>
      </c>
    </row>
    <row r="118" spans="1:8" ht="15">
      <c r="A118" s="8"/>
      <c r="B118" s="9"/>
      <c r="C118" s="9"/>
      <c r="D118" s="9"/>
      <c r="E118" s="10"/>
      <c r="F118" s="10"/>
      <c r="G118" s="11" t="str">
        <f t="shared" si="6"/>
        <v/>
      </c>
      <c r="H118" s="11" t="str">
        <f t="shared" si="7"/>
        <v/>
      </c>
    </row>
    <row r="119" spans="1:8" ht="15">
      <c r="A119" s="8"/>
      <c r="B119" s="9"/>
      <c r="C119" s="9"/>
      <c r="D119" s="9"/>
      <c r="E119" s="10"/>
      <c r="F119" s="10"/>
      <c r="G119" s="11" t="str">
        <f t="shared" si="6"/>
        <v/>
      </c>
      <c r="H119" s="11" t="str">
        <f t="shared" si="7"/>
        <v/>
      </c>
    </row>
    <row r="120" spans="1:8" ht="15">
      <c r="A120" s="8"/>
      <c r="B120" s="9"/>
      <c r="C120" s="9"/>
      <c r="D120" s="9"/>
      <c r="E120" s="10"/>
      <c r="F120" s="10"/>
      <c r="G120" s="11" t="str">
        <f t="shared" si="6"/>
        <v/>
      </c>
      <c r="H120" s="11" t="str">
        <f t="shared" si="7"/>
        <v/>
      </c>
    </row>
    <row r="121" spans="1:8" ht="15">
      <c r="A121" s="8"/>
      <c r="B121" s="9"/>
      <c r="C121" s="9"/>
      <c r="D121" s="9"/>
      <c r="E121" s="10"/>
      <c r="F121" s="10"/>
      <c r="G121" s="11" t="str">
        <f t="shared" si="6"/>
        <v/>
      </c>
      <c r="H121" s="11" t="str">
        <f t="shared" si="7"/>
        <v/>
      </c>
    </row>
    <row r="122" spans="1:8" ht="15">
      <c r="A122" s="8"/>
      <c r="B122" s="9"/>
      <c r="C122" s="9"/>
      <c r="D122" s="9"/>
      <c r="E122" s="10"/>
      <c r="F122" s="10"/>
      <c r="G122" s="11" t="str">
        <f t="shared" si="6"/>
        <v/>
      </c>
      <c r="H122" s="11" t="str">
        <f t="shared" si="7"/>
        <v/>
      </c>
    </row>
    <row r="123" spans="1:8" ht="15">
      <c r="A123" s="8"/>
      <c r="B123" s="9"/>
      <c r="C123" s="9"/>
      <c r="D123" s="9"/>
      <c r="E123" s="10"/>
      <c r="F123" s="10"/>
      <c r="G123" s="11" t="str">
        <f t="shared" si="6"/>
        <v/>
      </c>
      <c r="H123" s="11" t="str">
        <f t="shared" si="7"/>
        <v/>
      </c>
    </row>
    <row r="124" spans="1:8" ht="15">
      <c r="A124" s="8"/>
      <c r="B124" s="9"/>
      <c r="C124" s="9"/>
      <c r="D124" s="9"/>
      <c r="E124" s="10"/>
      <c r="F124" s="10"/>
      <c r="G124" s="11" t="str">
        <f t="shared" si="6"/>
        <v/>
      </c>
      <c r="H124" s="11" t="str">
        <f t="shared" si="7"/>
        <v/>
      </c>
    </row>
    <row r="125" spans="1:8" ht="15">
      <c r="A125" s="8"/>
      <c r="B125" s="9"/>
      <c r="C125" s="9"/>
      <c r="D125" s="9"/>
      <c r="E125" s="10"/>
      <c r="F125" s="10"/>
      <c r="G125" s="11" t="str">
        <f t="shared" si="6"/>
        <v/>
      </c>
      <c r="H125" s="11" t="str">
        <f t="shared" si="7"/>
        <v/>
      </c>
    </row>
    <row r="126" spans="1:8" ht="15">
      <c r="A126" s="8"/>
      <c r="B126" s="9"/>
      <c r="C126" s="9"/>
      <c r="D126" s="9"/>
      <c r="E126" s="10"/>
      <c r="F126" s="10"/>
      <c r="G126" s="11" t="str">
        <f t="shared" si="6"/>
        <v/>
      </c>
      <c r="H126" s="11" t="str">
        <f t="shared" si="7"/>
        <v/>
      </c>
    </row>
    <row r="127" spans="1:8" ht="15">
      <c r="A127" s="8"/>
      <c r="B127" s="9"/>
      <c r="C127" s="9"/>
      <c r="D127" s="9"/>
      <c r="E127" s="10"/>
      <c r="F127" s="10"/>
      <c r="G127" s="11" t="str">
        <f t="shared" si="6"/>
        <v/>
      </c>
      <c r="H127" s="11" t="str">
        <f t="shared" si="7"/>
        <v/>
      </c>
    </row>
    <row r="128" spans="1:8" ht="15">
      <c r="A128" s="8"/>
      <c r="B128" s="9"/>
      <c r="C128" s="9"/>
      <c r="D128" s="9"/>
      <c r="E128" s="10"/>
      <c r="F128" s="10"/>
      <c r="G128" s="11" t="str">
        <f t="shared" si="6"/>
        <v/>
      </c>
      <c r="H128" s="11" t="str">
        <f t="shared" si="7"/>
        <v/>
      </c>
    </row>
    <row r="129" spans="1:8" ht="15">
      <c r="A129" s="8"/>
      <c r="B129" s="9"/>
      <c r="C129" s="9"/>
      <c r="D129" s="9"/>
      <c r="E129" s="10"/>
      <c r="F129" s="10"/>
      <c r="G129" s="11" t="str">
        <f t="shared" si="6"/>
        <v/>
      </c>
      <c r="H129" s="11" t="str">
        <f t="shared" si="7"/>
        <v/>
      </c>
    </row>
    <row r="130" spans="1:8" ht="15">
      <c r="A130" s="8"/>
      <c r="B130" s="9"/>
      <c r="C130" s="9"/>
      <c r="D130" s="9"/>
      <c r="E130" s="10"/>
      <c r="F130" s="10"/>
      <c r="G130" s="11" t="str">
        <f t="shared" ref="G130:G161" si="8">IF(A130="","",B130&amp;"_"&amp;TEXT(A130,"YYYY-MM-DD"))</f>
        <v/>
      </c>
      <c r="H130" s="11" t="str">
        <f t="shared" ref="H130:H161" si="9">IF(A130="","",D130&amp;IF(E130&lt;&gt;""," "&amp;TEXT(E130,"hh:mm"),"")&amp;IF(F130&lt;&gt;""," - "&amp;TEXT(F130,"hh:mm"),"")&amp;"("&amp;C130&amp;")")</f>
        <v/>
      </c>
    </row>
    <row r="131" spans="1:8" ht="15">
      <c r="A131" s="8"/>
      <c r="B131" s="9"/>
      <c r="C131" s="9"/>
      <c r="D131" s="9"/>
      <c r="E131" s="10"/>
      <c r="F131" s="10"/>
      <c r="G131" s="11" t="str">
        <f t="shared" si="8"/>
        <v/>
      </c>
      <c r="H131" s="11" t="str">
        <f t="shared" si="9"/>
        <v/>
      </c>
    </row>
    <row r="132" spans="1:8" ht="15">
      <c r="A132" s="8"/>
      <c r="B132" s="9"/>
      <c r="C132" s="9"/>
      <c r="D132" s="9"/>
      <c r="E132" s="10"/>
      <c r="F132" s="10"/>
      <c r="G132" s="11" t="str">
        <f t="shared" si="8"/>
        <v/>
      </c>
      <c r="H132" s="11" t="str">
        <f t="shared" si="9"/>
        <v/>
      </c>
    </row>
    <row r="133" spans="1:8" ht="15">
      <c r="A133" s="8"/>
      <c r="B133" s="9"/>
      <c r="C133" s="9"/>
      <c r="D133" s="9"/>
      <c r="E133" s="10"/>
      <c r="F133" s="10"/>
      <c r="G133" s="11" t="str">
        <f t="shared" si="8"/>
        <v/>
      </c>
      <c r="H133" s="11" t="str">
        <f t="shared" si="9"/>
        <v/>
      </c>
    </row>
    <row r="134" spans="1:8" ht="15">
      <c r="A134" s="8"/>
      <c r="B134" s="9"/>
      <c r="C134" s="9"/>
      <c r="D134" s="9"/>
      <c r="E134" s="10"/>
      <c r="F134" s="10"/>
      <c r="G134" s="11" t="str">
        <f t="shared" si="8"/>
        <v/>
      </c>
      <c r="H134" s="11" t="str">
        <f t="shared" si="9"/>
        <v/>
      </c>
    </row>
    <row r="135" spans="1:8" ht="15">
      <c r="A135" s="8"/>
      <c r="B135" s="9"/>
      <c r="C135" s="9"/>
      <c r="D135" s="9"/>
      <c r="E135" s="10"/>
      <c r="F135" s="10"/>
      <c r="G135" s="11" t="str">
        <f t="shared" si="8"/>
        <v/>
      </c>
      <c r="H135" s="11" t="str">
        <f t="shared" si="9"/>
        <v/>
      </c>
    </row>
    <row r="136" spans="1:8" ht="15">
      <c r="A136" s="8"/>
      <c r="B136" s="9"/>
      <c r="C136" s="9"/>
      <c r="D136" s="9"/>
      <c r="E136" s="10"/>
      <c r="F136" s="10"/>
      <c r="G136" s="11" t="str">
        <f t="shared" si="8"/>
        <v/>
      </c>
      <c r="H136" s="11" t="str">
        <f t="shared" si="9"/>
        <v/>
      </c>
    </row>
    <row r="137" spans="1:8" ht="15">
      <c r="A137" s="8"/>
      <c r="B137" s="9"/>
      <c r="C137" s="9"/>
      <c r="D137" s="9"/>
      <c r="E137" s="10"/>
      <c r="F137" s="10"/>
      <c r="G137" s="11" t="str">
        <f t="shared" si="8"/>
        <v/>
      </c>
      <c r="H137" s="11" t="str">
        <f t="shared" si="9"/>
        <v/>
      </c>
    </row>
    <row r="138" spans="1:8" ht="15">
      <c r="A138" s="8"/>
      <c r="B138" s="9"/>
      <c r="C138" s="9"/>
      <c r="D138" s="9"/>
      <c r="E138" s="10"/>
      <c r="F138" s="10"/>
      <c r="G138" s="11" t="str">
        <f t="shared" si="8"/>
        <v/>
      </c>
      <c r="H138" s="11" t="str">
        <f t="shared" si="9"/>
        <v/>
      </c>
    </row>
    <row r="139" spans="1:8" ht="15">
      <c r="A139" s="8"/>
      <c r="B139" s="9"/>
      <c r="C139" s="9"/>
      <c r="D139" s="9"/>
      <c r="E139" s="10"/>
      <c r="F139" s="10"/>
      <c r="G139" s="11" t="str">
        <f t="shared" si="8"/>
        <v/>
      </c>
      <c r="H139" s="11" t="str">
        <f t="shared" si="9"/>
        <v/>
      </c>
    </row>
    <row r="140" spans="1:8" ht="15">
      <c r="A140" s="8"/>
      <c r="B140" s="9"/>
      <c r="C140" s="9"/>
      <c r="D140" s="9"/>
      <c r="E140" s="10"/>
      <c r="F140" s="10"/>
      <c r="G140" s="11" t="str">
        <f t="shared" si="8"/>
        <v/>
      </c>
      <c r="H140" s="11" t="str">
        <f t="shared" si="9"/>
        <v/>
      </c>
    </row>
    <row r="141" spans="1:8" ht="15">
      <c r="A141" s="8"/>
      <c r="B141" s="9"/>
      <c r="C141" s="9"/>
      <c r="D141" s="9"/>
      <c r="E141" s="10"/>
      <c r="F141" s="10"/>
      <c r="G141" s="11" t="str">
        <f t="shared" si="8"/>
        <v/>
      </c>
      <c r="H141" s="11" t="str">
        <f t="shared" si="9"/>
        <v/>
      </c>
    </row>
    <row r="142" spans="1:8" ht="15">
      <c r="A142" s="8"/>
      <c r="B142" s="9"/>
      <c r="C142" s="9"/>
      <c r="D142" s="9"/>
      <c r="E142" s="10"/>
      <c r="F142" s="10"/>
      <c r="G142" s="11" t="str">
        <f t="shared" si="8"/>
        <v/>
      </c>
      <c r="H142" s="11" t="str">
        <f t="shared" si="9"/>
        <v/>
      </c>
    </row>
    <row r="143" spans="1:8" ht="15">
      <c r="A143" s="8"/>
      <c r="B143" s="9"/>
      <c r="C143" s="9"/>
      <c r="D143" s="9"/>
      <c r="E143" s="10"/>
      <c r="F143" s="10"/>
      <c r="G143" s="11" t="str">
        <f t="shared" si="8"/>
        <v/>
      </c>
      <c r="H143" s="11" t="str">
        <f t="shared" si="9"/>
        <v/>
      </c>
    </row>
    <row r="144" spans="1:8" ht="15">
      <c r="A144" s="8"/>
      <c r="B144" s="9"/>
      <c r="C144" s="9"/>
      <c r="D144" s="9"/>
      <c r="E144" s="10"/>
      <c r="F144" s="10"/>
      <c r="G144" s="11" t="str">
        <f t="shared" si="8"/>
        <v/>
      </c>
      <c r="H144" s="11" t="str">
        <f t="shared" si="9"/>
        <v/>
      </c>
    </row>
    <row r="145" spans="1:8" ht="15">
      <c r="A145" s="8"/>
      <c r="B145" s="9"/>
      <c r="C145" s="9"/>
      <c r="D145" s="9"/>
      <c r="E145" s="10"/>
      <c r="F145" s="10"/>
      <c r="G145" s="11" t="str">
        <f t="shared" si="8"/>
        <v/>
      </c>
      <c r="H145" s="11" t="str">
        <f t="shared" si="9"/>
        <v/>
      </c>
    </row>
    <row r="146" spans="1:8" ht="15">
      <c r="A146" s="8"/>
      <c r="B146" s="9"/>
      <c r="C146" s="9"/>
      <c r="D146" s="9"/>
      <c r="E146" s="10"/>
      <c r="F146" s="10"/>
      <c r="G146" s="11" t="str">
        <f t="shared" si="8"/>
        <v/>
      </c>
      <c r="H146" s="11" t="str">
        <f t="shared" si="9"/>
        <v/>
      </c>
    </row>
    <row r="147" spans="1:8" ht="15">
      <c r="A147" s="8"/>
      <c r="B147" s="9"/>
      <c r="C147" s="9"/>
      <c r="D147" s="9"/>
      <c r="E147" s="10"/>
      <c r="F147" s="10"/>
      <c r="G147" s="11" t="str">
        <f t="shared" si="8"/>
        <v/>
      </c>
      <c r="H147" s="11" t="str">
        <f t="shared" si="9"/>
        <v/>
      </c>
    </row>
    <row r="148" spans="1:8" ht="15">
      <c r="A148" s="8"/>
      <c r="B148" s="9"/>
      <c r="C148" s="9"/>
      <c r="D148" s="9"/>
      <c r="E148" s="10"/>
      <c r="F148" s="10"/>
      <c r="G148" s="11" t="str">
        <f t="shared" si="8"/>
        <v/>
      </c>
      <c r="H148" s="11" t="str">
        <f t="shared" si="9"/>
        <v/>
      </c>
    </row>
    <row r="149" spans="1:8" ht="15">
      <c r="A149" s="8"/>
      <c r="B149" s="9"/>
      <c r="C149" s="9"/>
      <c r="D149" s="9"/>
      <c r="E149" s="10"/>
      <c r="F149" s="10"/>
      <c r="G149" s="11" t="str">
        <f t="shared" si="8"/>
        <v/>
      </c>
      <c r="H149" s="11" t="str">
        <f t="shared" si="9"/>
        <v/>
      </c>
    </row>
    <row r="150" spans="1:8" ht="15">
      <c r="A150" s="8"/>
      <c r="B150" s="9"/>
      <c r="C150" s="9"/>
      <c r="D150" s="9"/>
      <c r="E150" s="10"/>
      <c r="F150" s="10"/>
      <c r="G150" s="11" t="str">
        <f t="shared" si="8"/>
        <v/>
      </c>
      <c r="H150" s="11" t="str">
        <f t="shared" si="9"/>
        <v/>
      </c>
    </row>
    <row r="151" spans="1:8" ht="15">
      <c r="A151" s="8"/>
      <c r="B151" s="9"/>
      <c r="C151" s="9"/>
      <c r="D151" s="9"/>
      <c r="E151" s="10"/>
      <c r="F151" s="10"/>
      <c r="G151" s="11" t="str">
        <f t="shared" si="8"/>
        <v/>
      </c>
      <c r="H151" s="11" t="str">
        <f t="shared" si="9"/>
        <v/>
      </c>
    </row>
    <row r="152" spans="1:8" ht="15">
      <c r="A152" s="8"/>
      <c r="B152" s="9"/>
      <c r="C152" s="9"/>
      <c r="D152" s="9"/>
      <c r="E152" s="10"/>
      <c r="F152" s="10"/>
      <c r="G152" s="11" t="str">
        <f t="shared" si="8"/>
        <v/>
      </c>
      <c r="H152" s="11" t="str">
        <f t="shared" si="9"/>
        <v/>
      </c>
    </row>
    <row r="153" spans="1:8" ht="15">
      <c r="A153" s="8"/>
      <c r="B153" s="9"/>
      <c r="C153" s="9"/>
      <c r="D153" s="9"/>
      <c r="E153" s="10"/>
      <c r="F153" s="10"/>
      <c r="G153" s="11" t="str">
        <f t="shared" si="8"/>
        <v/>
      </c>
      <c r="H153" s="11" t="str">
        <f t="shared" si="9"/>
        <v/>
      </c>
    </row>
    <row r="154" spans="1:8" ht="15">
      <c r="A154" s="8"/>
      <c r="B154" s="9"/>
      <c r="C154" s="9"/>
      <c r="D154" s="9"/>
      <c r="E154" s="10"/>
      <c r="F154" s="10"/>
      <c r="G154" s="11" t="str">
        <f t="shared" si="8"/>
        <v/>
      </c>
      <c r="H154" s="11" t="str">
        <f t="shared" si="9"/>
        <v/>
      </c>
    </row>
    <row r="155" spans="1:8" ht="15">
      <c r="A155" s="8"/>
      <c r="B155" s="9"/>
      <c r="C155" s="9"/>
      <c r="D155" s="9"/>
      <c r="E155" s="10"/>
      <c r="F155" s="10"/>
      <c r="G155" s="11" t="str">
        <f t="shared" si="8"/>
        <v/>
      </c>
      <c r="H155" s="11" t="str">
        <f t="shared" si="9"/>
        <v/>
      </c>
    </row>
    <row r="156" spans="1:8" ht="15">
      <c r="A156" s="8"/>
      <c r="B156" s="9"/>
      <c r="C156" s="9"/>
      <c r="D156" s="9"/>
      <c r="E156" s="10"/>
      <c r="F156" s="10"/>
      <c r="G156" s="11" t="str">
        <f t="shared" si="8"/>
        <v/>
      </c>
      <c r="H156" s="11" t="str">
        <f t="shared" si="9"/>
        <v/>
      </c>
    </row>
    <row r="157" spans="1:8" ht="15">
      <c r="A157" s="8"/>
      <c r="B157" s="9"/>
      <c r="C157" s="9"/>
      <c r="D157" s="9"/>
      <c r="E157" s="10"/>
      <c r="F157" s="10"/>
      <c r="G157" s="11" t="str">
        <f t="shared" si="8"/>
        <v/>
      </c>
      <c r="H157" s="11" t="str">
        <f t="shared" si="9"/>
        <v/>
      </c>
    </row>
    <row r="158" spans="1:8" ht="15">
      <c r="A158" s="8"/>
      <c r="B158" s="9"/>
      <c r="C158" s="9"/>
      <c r="D158" s="9"/>
      <c r="E158" s="10"/>
      <c r="F158" s="10"/>
      <c r="G158" s="11" t="str">
        <f t="shared" si="8"/>
        <v/>
      </c>
      <c r="H158" s="11" t="str">
        <f t="shared" si="9"/>
        <v/>
      </c>
    </row>
    <row r="159" spans="1:8" ht="15">
      <c r="A159" s="8"/>
      <c r="B159" s="9"/>
      <c r="C159" s="9"/>
      <c r="D159" s="9"/>
      <c r="E159" s="10"/>
      <c r="F159" s="10"/>
      <c r="G159" s="11" t="str">
        <f t="shared" si="8"/>
        <v/>
      </c>
      <c r="H159" s="11" t="str">
        <f t="shared" si="9"/>
        <v/>
      </c>
    </row>
    <row r="160" spans="1:8" ht="15">
      <c r="A160" s="8"/>
      <c r="B160" s="9"/>
      <c r="C160" s="9"/>
      <c r="D160" s="9"/>
      <c r="E160" s="10"/>
      <c r="F160" s="10"/>
      <c r="G160" s="11" t="str">
        <f t="shared" si="8"/>
        <v/>
      </c>
      <c r="H160" s="11" t="str">
        <f t="shared" si="9"/>
        <v/>
      </c>
    </row>
    <row r="161" spans="1:8" ht="15">
      <c r="A161" s="8"/>
      <c r="B161" s="9"/>
      <c r="C161" s="9"/>
      <c r="D161" s="9"/>
      <c r="E161" s="10"/>
      <c r="F161" s="10"/>
      <c r="G161" s="11" t="str">
        <f t="shared" si="8"/>
        <v/>
      </c>
      <c r="H161" s="11" t="str">
        <f t="shared" si="9"/>
        <v/>
      </c>
    </row>
    <row r="162" spans="1:8" ht="15">
      <c r="A162" s="8"/>
      <c r="B162" s="9"/>
      <c r="C162" s="9"/>
      <c r="D162" s="9"/>
      <c r="E162" s="10"/>
      <c r="F162" s="10"/>
      <c r="G162" s="11" t="str">
        <f t="shared" ref="G162:G193" si="10">IF(A162="","",B162&amp;"_"&amp;TEXT(A162,"YYYY-MM-DD"))</f>
        <v/>
      </c>
      <c r="H162" s="11" t="str">
        <f t="shared" ref="H162:H193" si="11">IF(A162="","",D162&amp;IF(E162&lt;&gt;""," "&amp;TEXT(E162,"hh:mm"),"")&amp;IF(F162&lt;&gt;""," - "&amp;TEXT(F162,"hh:mm"),"")&amp;"("&amp;C162&amp;")")</f>
        <v/>
      </c>
    </row>
    <row r="163" spans="1:8" ht="15">
      <c r="A163" s="8"/>
      <c r="B163" s="9"/>
      <c r="C163" s="9"/>
      <c r="D163" s="9"/>
      <c r="E163" s="10"/>
      <c r="F163" s="10"/>
      <c r="G163" s="11" t="str">
        <f t="shared" si="10"/>
        <v/>
      </c>
      <c r="H163" s="11" t="str">
        <f t="shared" si="11"/>
        <v/>
      </c>
    </row>
    <row r="164" spans="1:8" ht="15">
      <c r="A164" s="8"/>
      <c r="B164" s="9"/>
      <c r="C164" s="9"/>
      <c r="D164" s="9"/>
      <c r="E164" s="10"/>
      <c r="F164" s="10"/>
      <c r="G164" s="11" t="str">
        <f t="shared" si="10"/>
        <v/>
      </c>
      <c r="H164" s="11" t="str">
        <f t="shared" si="11"/>
        <v/>
      </c>
    </row>
    <row r="165" spans="1:8" ht="15">
      <c r="A165" s="8"/>
      <c r="B165" s="9"/>
      <c r="C165" s="9"/>
      <c r="D165" s="9"/>
      <c r="E165" s="10"/>
      <c r="F165" s="10"/>
      <c r="G165" s="11" t="str">
        <f t="shared" si="10"/>
        <v/>
      </c>
      <c r="H165" s="11" t="str">
        <f t="shared" si="11"/>
        <v/>
      </c>
    </row>
    <row r="166" spans="1:8" ht="15">
      <c r="A166" s="8"/>
      <c r="B166" s="9"/>
      <c r="C166" s="9"/>
      <c r="D166" s="9"/>
      <c r="E166" s="10"/>
      <c r="F166" s="10"/>
      <c r="G166" s="11" t="str">
        <f t="shared" si="10"/>
        <v/>
      </c>
      <c r="H166" s="11" t="str">
        <f t="shared" si="11"/>
        <v/>
      </c>
    </row>
    <row r="167" spans="1:8" ht="15">
      <c r="A167" s="8"/>
      <c r="B167" s="9"/>
      <c r="C167" s="9"/>
      <c r="D167" s="9"/>
      <c r="E167" s="10"/>
      <c r="F167" s="10"/>
      <c r="G167" s="11" t="str">
        <f t="shared" si="10"/>
        <v/>
      </c>
      <c r="H167" s="11" t="str">
        <f t="shared" si="11"/>
        <v/>
      </c>
    </row>
    <row r="168" spans="1:8" ht="15">
      <c r="A168" s="8"/>
      <c r="B168" s="9"/>
      <c r="C168" s="9"/>
      <c r="D168" s="9"/>
      <c r="E168" s="10"/>
      <c r="F168" s="10"/>
      <c r="G168" s="11" t="str">
        <f t="shared" si="10"/>
        <v/>
      </c>
      <c r="H168" s="11" t="str">
        <f t="shared" si="11"/>
        <v/>
      </c>
    </row>
    <row r="169" spans="1:8" ht="15">
      <c r="A169" s="8"/>
      <c r="B169" s="9"/>
      <c r="C169" s="9"/>
      <c r="D169" s="9"/>
      <c r="E169" s="10"/>
      <c r="F169" s="10"/>
      <c r="G169" s="11" t="str">
        <f t="shared" si="10"/>
        <v/>
      </c>
      <c r="H169" s="11" t="str">
        <f t="shared" si="11"/>
        <v/>
      </c>
    </row>
    <row r="170" spans="1:8" ht="15">
      <c r="A170" s="8"/>
      <c r="B170" s="9"/>
      <c r="C170" s="9"/>
      <c r="D170" s="9"/>
      <c r="E170" s="10"/>
      <c r="F170" s="10"/>
      <c r="G170" s="11" t="str">
        <f t="shared" si="10"/>
        <v/>
      </c>
      <c r="H170" s="11" t="str">
        <f t="shared" si="11"/>
        <v/>
      </c>
    </row>
    <row r="171" spans="1:8" ht="15">
      <c r="A171" s="8"/>
      <c r="B171" s="9"/>
      <c r="C171" s="9"/>
      <c r="D171" s="9"/>
      <c r="E171" s="10"/>
      <c r="F171" s="10"/>
      <c r="G171" s="11" t="str">
        <f t="shared" si="10"/>
        <v/>
      </c>
      <c r="H171" s="11" t="str">
        <f t="shared" si="11"/>
        <v/>
      </c>
    </row>
    <row r="172" spans="1:8" ht="15">
      <c r="A172" s="8"/>
      <c r="B172" s="9"/>
      <c r="C172" s="9"/>
      <c r="D172" s="9"/>
      <c r="E172" s="10"/>
      <c r="F172" s="10"/>
      <c r="G172" s="11" t="str">
        <f t="shared" si="10"/>
        <v/>
      </c>
      <c r="H172" s="11" t="str">
        <f t="shared" si="11"/>
        <v/>
      </c>
    </row>
    <row r="173" spans="1:8" ht="15">
      <c r="A173" s="8"/>
      <c r="B173" s="9"/>
      <c r="C173" s="9"/>
      <c r="D173" s="9"/>
      <c r="E173" s="10"/>
      <c r="F173" s="10"/>
      <c r="G173" s="11" t="str">
        <f t="shared" si="10"/>
        <v/>
      </c>
      <c r="H173" s="11" t="str">
        <f t="shared" si="11"/>
        <v/>
      </c>
    </row>
    <row r="174" spans="1:8" ht="15">
      <c r="A174" s="8"/>
      <c r="B174" s="9"/>
      <c r="C174" s="9"/>
      <c r="D174" s="9"/>
      <c r="E174" s="10"/>
      <c r="F174" s="10"/>
      <c r="G174" s="11" t="str">
        <f t="shared" si="10"/>
        <v/>
      </c>
      <c r="H174" s="11" t="str">
        <f t="shared" si="11"/>
        <v/>
      </c>
    </row>
    <row r="175" spans="1:8" ht="15">
      <c r="A175" s="8"/>
      <c r="B175" s="9"/>
      <c r="C175" s="9"/>
      <c r="D175" s="9"/>
      <c r="E175" s="10"/>
      <c r="F175" s="10"/>
      <c r="G175" s="11" t="str">
        <f t="shared" si="10"/>
        <v/>
      </c>
      <c r="H175" s="11" t="str">
        <f t="shared" si="11"/>
        <v/>
      </c>
    </row>
    <row r="176" spans="1:8" ht="15">
      <c r="A176" s="8"/>
      <c r="B176" s="9"/>
      <c r="C176" s="9"/>
      <c r="D176" s="9"/>
      <c r="E176" s="10"/>
      <c r="F176" s="10"/>
      <c r="G176" s="11" t="str">
        <f t="shared" si="10"/>
        <v/>
      </c>
      <c r="H176" s="11" t="str">
        <f t="shared" si="11"/>
        <v/>
      </c>
    </row>
    <row r="177" spans="1:8" ht="15">
      <c r="A177" s="8"/>
      <c r="B177" s="9"/>
      <c r="C177" s="9"/>
      <c r="D177" s="9"/>
      <c r="E177" s="10"/>
      <c r="F177" s="10"/>
      <c r="G177" s="11" t="str">
        <f t="shared" si="10"/>
        <v/>
      </c>
      <c r="H177" s="11" t="str">
        <f t="shared" si="11"/>
        <v/>
      </c>
    </row>
    <row r="178" spans="1:8" ht="15">
      <c r="A178" s="8"/>
      <c r="B178" s="9"/>
      <c r="C178" s="9"/>
      <c r="D178" s="9"/>
      <c r="E178" s="10"/>
      <c r="F178" s="10"/>
      <c r="G178" s="11" t="str">
        <f t="shared" si="10"/>
        <v/>
      </c>
      <c r="H178" s="11" t="str">
        <f t="shared" si="11"/>
        <v/>
      </c>
    </row>
    <row r="179" spans="1:8" ht="15">
      <c r="A179" s="8"/>
      <c r="B179" s="9"/>
      <c r="C179" s="9"/>
      <c r="D179" s="9"/>
      <c r="E179" s="10"/>
      <c r="F179" s="10"/>
      <c r="G179" s="11" t="str">
        <f t="shared" si="10"/>
        <v/>
      </c>
      <c r="H179" s="11" t="str">
        <f t="shared" si="11"/>
        <v/>
      </c>
    </row>
    <row r="180" spans="1:8" ht="15">
      <c r="A180" s="8"/>
      <c r="B180" s="9"/>
      <c r="C180" s="9"/>
      <c r="D180" s="9"/>
      <c r="E180" s="10"/>
      <c r="F180" s="10"/>
      <c r="G180" s="11" t="str">
        <f t="shared" si="10"/>
        <v/>
      </c>
      <c r="H180" s="11" t="str">
        <f t="shared" si="11"/>
        <v/>
      </c>
    </row>
    <row r="181" spans="1:8" ht="15">
      <c r="A181" s="8"/>
      <c r="B181" s="9"/>
      <c r="C181" s="9"/>
      <c r="D181" s="9"/>
      <c r="E181" s="10"/>
      <c r="F181" s="10"/>
      <c r="G181" s="11" t="str">
        <f t="shared" si="10"/>
        <v/>
      </c>
      <c r="H181" s="11" t="str">
        <f t="shared" si="11"/>
        <v/>
      </c>
    </row>
    <row r="182" spans="1:8" ht="15">
      <c r="A182" s="8"/>
      <c r="B182" s="9"/>
      <c r="C182" s="9"/>
      <c r="D182" s="9"/>
      <c r="E182" s="10"/>
      <c r="F182" s="10"/>
      <c r="G182" s="11" t="str">
        <f t="shared" si="10"/>
        <v/>
      </c>
      <c r="H182" s="11" t="str">
        <f t="shared" si="11"/>
        <v/>
      </c>
    </row>
    <row r="183" spans="1:8" ht="15">
      <c r="A183" s="8"/>
      <c r="B183" s="9"/>
      <c r="C183" s="9"/>
      <c r="D183" s="9"/>
      <c r="E183" s="10"/>
      <c r="F183" s="10"/>
      <c r="G183" s="11" t="str">
        <f t="shared" si="10"/>
        <v/>
      </c>
      <c r="H183" s="11" t="str">
        <f t="shared" si="11"/>
        <v/>
      </c>
    </row>
    <row r="184" spans="1:8" ht="15">
      <c r="A184" s="8"/>
      <c r="B184" s="9"/>
      <c r="C184" s="9"/>
      <c r="D184" s="9"/>
      <c r="E184" s="10"/>
      <c r="F184" s="10"/>
      <c r="G184" s="11" t="str">
        <f t="shared" si="10"/>
        <v/>
      </c>
      <c r="H184" s="11" t="str">
        <f t="shared" si="11"/>
        <v/>
      </c>
    </row>
    <row r="185" spans="1:8" ht="15">
      <c r="A185" s="8"/>
      <c r="B185" s="9"/>
      <c r="C185" s="9"/>
      <c r="D185" s="9"/>
      <c r="E185" s="10"/>
      <c r="F185" s="10"/>
      <c r="G185" s="11" t="str">
        <f t="shared" si="10"/>
        <v/>
      </c>
      <c r="H185" s="11" t="str">
        <f t="shared" si="11"/>
        <v/>
      </c>
    </row>
    <row r="186" spans="1:8" ht="15">
      <c r="A186" s="8"/>
      <c r="B186" s="9"/>
      <c r="C186" s="9"/>
      <c r="D186" s="9"/>
      <c r="E186" s="10"/>
      <c r="F186" s="10"/>
      <c r="G186" s="11" t="str">
        <f t="shared" si="10"/>
        <v/>
      </c>
      <c r="H186" s="11" t="str">
        <f t="shared" si="11"/>
        <v/>
      </c>
    </row>
    <row r="187" spans="1:8" ht="15">
      <c r="A187" s="8"/>
      <c r="B187" s="9"/>
      <c r="C187" s="9"/>
      <c r="D187" s="9"/>
      <c r="E187" s="10"/>
      <c r="F187" s="10"/>
      <c r="G187" s="11" t="str">
        <f t="shared" si="10"/>
        <v/>
      </c>
      <c r="H187" s="11" t="str">
        <f t="shared" si="11"/>
        <v/>
      </c>
    </row>
    <row r="188" spans="1:8" ht="15">
      <c r="A188" s="8"/>
      <c r="B188" s="9"/>
      <c r="C188" s="9"/>
      <c r="D188" s="9"/>
      <c r="E188" s="10"/>
      <c r="F188" s="10"/>
      <c r="G188" s="11" t="str">
        <f t="shared" si="10"/>
        <v/>
      </c>
      <c r="H188" s="11" t="str">
        <f t="shared" si="11"/>
        <v/>
      </c>
    </row>
    <row r="189" spans="1:8" ht="15">
      <c r="A189" s="8"/>
      <c r="B189" s="9"/>
      <c r="C189" s="9"/>
      <c r="D189" s="9"/>
      <c r="E189" s="10"/>
      <c r="F189" s="10"/>
      <c r="G189" s="11" t="str">
        <f t="shared" si="10"/>
        <v/>
      </c>
      <c r="H189" s="11" t="str">
        <f t="shared" si="11"/>
        <v/>
      </c>
    </row>
    <row r="190" spans="1:8" ht="15">
      <c r="A190" s="8"/>
      <c r="B190" s="9"/>
      <c r="C190" s="9"/>
      <c r="D190" s="9"/>
      <c r="E190" s="10"/>
      <c r="F190" s="10"/>
      <c r="G190" s="11" t="str">
        <f t="shared" si="10"/>
        <v/>
      </c>
      <c r="H190" s="11" t="str">
        <f t="shared" si="11"/>
        <v/>
      </c>
    </row>
    <row r="191" spans="1:8" ht="15">
      <c r="A191" s="8"/>
      <c r="B191" s="9"/>
      <c r="C191" s="9"/>
      <c r="D191" s="9"/>
      <c r="E191" s="10"/>
      <c r="F191" s="10"/>
      <c r="G191" s="11" t="str">
        <f t="shared" si="10"/>
        <v/>
      </c>
      <c r="H191" s="11" t="str">
        <f t="shared" si="11"/>
        <v/>
      </c>
    </row>
    <row r="192" spans="1:8" ht="15">
      <c r="A192" s="8"/>
      <c r="B192" s="9"/>
      <c r="C192" s="9"/>
      <c r="D192" s="9"/>
      <c r="E192" s="10"/>
      <c r="F192" s="10"/>
      <c r="G192" s="11" t="str">
        <f t="shared" si="10"/>
        <v/>
      </c>
      <c r="H192" s="11" t="str">
        <f t="shared" si="11"/>
        <v/>
      </c>
    </row>
    <row r="193" spans="1:8" ht="15">
      <c r="A193" s="8"/>
      <c r="B193" s="9"/>
      <c r="C193" s="9"/>
      <c r="D193" s="9"/>
      <c r="E193" s="10"/>
      <c r="F193" s="10"/>
      <c r="G193" s="11" t="str">
        <f t="shared" si="10"/>
        <v/>
      </c>
      <c r="H193" s="11" t="str">
        <f t="shared" si="11"/>
        <v/>
      </c>
    </row>
    <row r="194" spans="1:8" ht="15">
      <c r="A194" s="8"/>
      <c r="B194" s="9"/>
      <c r="C194" s="9"/>
      <c r="D194" s="9"/>
      <c r="E194" s="10"/>
      <c r="F194" s="10"/>
      <c r="G194" s="11" t="str">
        <f t="shared" ref="G194:G201" si="12">IF(A194="","",B194&amp;"_"&amp;TEXT(A194,"YYYY-MM-DD"))</f>
        <v/>
      </c>
      <c r="H194" s="11" t="str">
        <f t="shared" ref="H194:H201" si="13">IF(A194="","",D194&amp;IF(E194&lt;&gt;""," "&amp;TEXT(E194,"hh:mm"),"")&amp;IF(F194&lt;&gt;""," - "&amp;TEXT(F194,"hh:mm"),"")&amp;"("&amp;C194&amp;")")</f>
        <v/>
      </c>
    </row>
    <row r="195" spans="1:8" ht="15">
      <c r="A195" s="8"/>
      <c r="B195" s="9"/>
      <c r="C195" s="9"/>
      <c r="D195" s="9"/>
      <c r="E195" s="10"/>
      <c r="F195" s="10"/>
      <c r="G195" s="11" t="str">
        <f t="shared" si="12"/>
        <v/>
      </c>
      <c r="H195" s="11" t="str">
        <f t="shared" si="13"/>
        <v/>
      </c>
    </row>
    <row r="196" spans="1:8" ht="15">
      <c r="A196" s="8"/>
      <c r="B196" s="9"/>
      <c r="C196" s="9"/>
      <c r="D196" s="9"/>
      <c r="E196" s="10"/>
      <c r="F196" s="10"/>
      <c r="G196" s="11" t="str">
        <f t="shared" si="12"/>
        <v/>
      </c>
      <c r="H196" s="11" t="str">
        <f t="shared" si="13"/>
        <v/>
      </c>
    </row>
    <row r="197" spans="1:8" ht="15">
      <c r="A197" s="8"/>
      <c r="B197" s="9"/>
      <c r="C197" s="9"/>
      <c r="D197" s="9"/>
      <c r="E197" s="10"/>
      <c r="F197" s="10"/>
      <c r="G197" s="11" t="str">
        <f t="shared" si="12"/>
        <v/>
      </c>
      <c r="H197" s="11" t="str">
        <f t="shared" si="13"/>
        <v/>
      </c>
    </row>
    <row r="198" spans="1:8" ht="15">
      <c r="A198" s="8"/>
      <c r="B198" s="9"/>
      <c r="C198" s="9"/>
      <c r="D198" s="9"/>
      <c r="E198" s="10"/>
      <c r="F198" s="10"/>
      <c r="G198" s="11" t="str">
        <f t="shared" si="12"/>
        <v/>
      </c>
      <c r="H198" s="11" t="str">
        <f t="shared" si="13"/>
        <v/>
      </c>
    </row>
    <row r="199" spans="1:8" ht="15">
      <c r="A199" s="8"/>
      <c r="B199" s="9"/>
      <c r="C199" s="9"/>
      <c r="D199" s="9"/>
      <c r="E199" s="10"/>
      <c r="F199" s="10"/>
      <c r="G199" s="11" t="str">
        <f t="shared" si="12"/>
        <v/>
      </c>
      <c r="H199" s="11" t="str">
        <f t="shared" si="13"/>
        <v/>
      </c>
    </row>
    <row r="200" spans="1:8" ht="15">
      <c r="A200" s="8"/>
      <c r="B200" s="9"/>
      <c r="C200" s="9"/>
      <c r="D200" s="9"/>
      <c r="E200" s="10"/>
      <c r="F200" s="10"/>
      <c r="G200" s="11" t="str">
        <f t="shared" si="12"/>
        <v/>
      </c>
      <c r="H200" s="11" t="str">
        <f t="shared" si="13"/>
        <v/>
      </c>
    </row>
    <row r="201" spans="1:8" ht="15">
      <c r="A201" s="8"/>
      <c r="B201" s="9"/>
      <c r="C201" s="9"/>
      <c r="D201" s="9"/>
      <c r="E201" s="10"/>
      <c r="F201" s="10"/>
      <c r="G201" s="11" t="str">
        <f t="shared" si="12"/>
        <v/>
      </c>
      <c r="H201" s="11" t="str">
        <f t="shared" si="13"/>
        <v/>
      </c>
    </row>
  </sheetData>
  <phoneticPr fontId="16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設定!$A$2:$A$5</xm:f>
          </x14:formula1>
          <x14:formula2>
            <xm:f>0</xm:f>
          </x14:formula2>
          <xm:sqref>B2:B201</xm:sqref>
        </x14:dataValidation>
        <x14:dataValidation type="list" allowBlank="1" xr:uid="{00000000-0002-0000-0200-000001000000}">
          <x14:formula1>
            <xm:f>設定!$C$2:$C$3</xm:f>
          </x14:formula1>
          <x14:formula2>
            <xm:f>0</xm:f>
          </x14:formula2>
          <xm:sqref>C2:C201</xm:sqref>
        </x14:dataValidation>
        <x14:dataValidation type="list" allowBlank="1" xr:uid="{00000000-0002-0000-0200-000002000000}">
          <x14:formula1>
            <xm:f>設定!$E$2:$E$5</xm:f>
          </x14:formula1>
          <x14:formula2>
            <xm:f>0</xm:f>
          </x14:formula2>
          <xm:sqref>D2:D201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showGridLines="0" tabSelected="1" zoomScaleNormal="100" workbookViewId="0">
      <selection activeCell="D19" sqref="D19"/>
    </sheetView>
  </sheetViews>
  <sheetFormatPr baseColWidth="10" defaultColWidth="7.6640625" defaultRowHeight="14"/>
  <cols>
    <col min="1" max="1" width="8.83203125" customWidth="1"/>
    <col min="2" max="8" width="13.1640625" customWidth="1"/>
  </cols>
  <sheetData>
    <row r="1" spans="1:8" ht="18">
      <c r="A1" s="5" t="s">
        <v>33</v>
      </c>
      <c r="B1" s="12">
        <v>46235</v>
      </c>
    </row>
    <row r="3" spans="1:8">
      <c r="B3" s="13" t="s">
        <v>34</v>
      </c>
      <c r="C3" s="13" t="s">
        <v>35</v>
      </c>
      <c r="D3" s="13" t="s">
        <v>36</v>
      </c>
      <c r="E3" s="13" t="s">
        <v>37</v>
      </c>
      <c r="F3" s="13" t="s">
        <v>38</v>
      </c>
      <c r="G3" s="13" t="s">
        <v>39</v>
      </c>
      <c r="H3" s="13" t="s">
        <v>40</v>
      </c>
    </row>
    <row r="4" spans="1:8" ht="13.5" customHeight="1">
      <c r="A4" s="14"/>
      <c r="B4" s="15">
        <f>$B$1-WEEKDAY($B$1,1)+1</f>
        <v>46229</v>
      </c>
      <c r="C4" s="15">
        <f t="shared" ref="C4:H4" si="0">B4+1</f>
        <v>46230</v>
      </c>
      <c r="D4" s="15">
        <f t="shared" si="0"/>
        <v>46231</v>
      </c>
      <c r="E4" s="15">
        <f t="shared" si="0"/>
        <v>46232</v>
      </c>
      <c r="F4" s="15">
        <f t="shared" si="0"/>
        <v>46233</v>
      </c>
      <c r="G4" s="15">
        <f t="shared" si="0"/>
        <v>46234</v>
      </c>
      <c r="H4" s="15">
        <f t="shared" si="0"/>
        <v>46235</v>
      </c>
    </row>
    <row r="5" spans="1:8" ht="31.5" customHeight="1">
      <c r="A5" s="16" t="str">
        <f>設定!$A$2</f>
        <v>山田</v>
      </c>
      <c r="B5" s="17" t="str">
        <f>IFERROR(INDEX(登録!$H$2:$H$201,MATCH($A5&amp;"_"&amp;TEXT(B4,"YYYY-MM-DD"),登録!$G$2:$G$201,0)),"")</f>
        <v/>
      </c>
      <c r="C5" s="17" t="str">
        <f>IFERROR(INDEX(登録!$H$2:$H$201,MATCH($A5&amp;"_"&amp;TEXT(C4,"YYYY-MM-DD"),登録!$G$2:$G$201,0)),"")</f>
        <v/>
      </c>
      <c r="D5" s="17" t="str">
        <f>IFERROR(INDEX(登録!$H$2:$H$201,MATCH($A5&amp;"_"&amp;TEXT(D4,"YYYY-MM-DD"),登録!$G$2:$G$201,0)),"")</f>
        <v/>
      </c>
      <c r="E5" s="17" t="str">
        <f>IFERROR(INDEX(登録!$H$2:$H$201,MATCH($A5&amp;"_"&amp;TEXT(E4,"YYYY-MM-DD"),登録!$G$2:$G$201,0)),"")</f>
        <v/>
      </c>
      <c r="F5" s="17" t="str">
        <f>IFERROR(INDEX(登録!$H$2:$H$201,MATCH($A5&amp;"_"&amp;TEXT(F4,"YYYY-MM-DD"),登録!$G$2:$G$201,0)),"")</f>
        <v/>
      </c>
      <c r="G5" s="17" t="str">
        <f>IFERROR(INDEX(登録!$H$2:$H$201,MATCH($A5&amp;"_"&amp;TEXT(G4,"YYYY-MM-DD"),登録!$G$2:$G$201,0)),"")</f>
        <v/>
      </c>
      <c r="H5" s="17" t="str">
        <f>IFERROR(INDEX(登録!$H$2:$H$201,MATCH($A5&amp;"_"&amp;TEXT(H4,"YYYY-MM-DD"),登録!$G$2:$G$201,0)),"")</f>
        <v/>
      </c>
    </row>
    <row r="6" spans="1:8" ht="31.5" customHeight="1">
      <c r="A6" s="16" t="str">
        <f>設定!$A$3</f>
        <v>佐藤</v>
      </c>
      <c r="B6" s="17" t="str">
        <f>IFERROR(INDEX(登録!$H$2:$H$201,MATCH($A6&amp;"_"&amp;TEXT(B4,"YYYY-MM-DD"),登録!$G$2:$G$201,0)),"")</f>
        <v/>
      </c>
      <c r="C6" s="17" t="str">
        <f>IFERROR(INDEX(登録!$H$2:$H$201,MATCH($A6&amp;"_"&amp;TEXT(C4,"YYYY-MM-DD"),登録!$G$2:$G$201,0)),"")</f>
        <v/>
      </c>
      <c r="D6" s="17" t="str">
        <f>IFERROR(INDEX(登録!$H$2:$H$201,MATCH($A6&amp;"_"&amp;TEXT(D4,"YYYY-MM-DD"),登録!$G$2:$G$201,0)),"")</f>
        <v/>
      </c>
      <c r="E6" s="17" t="str">
        <f>IFERROR(INDEX(登録!$H$2:$H$201,MATCH($A6&amp;"_"&amp;TEXT(E4,"YYYY-MM-DD"),登録!$G$2:$G$201,0)),"")</f>
        <v/>
      </c>
      <c r="F6" s="17" t="str">
        <f>IFERROR(INDEX(登録!$H$2:$H$201,MATCH($A6&amp;"_"&amp;TEXT(F4,"YYYY-MM-DD"),登録!$G$2:$G$201,0)),"")</f>
        <v/>
      </c>
      <c r="G6" s="17" t="str">
        <f>IFERROR(INDEX(登録!$H$2:$H$201,MATCH($A6&amp;"_"&amp;TEXT(G4,"YYYY-MM-DD"),登録!$G$2:$G$201,0)),"")</f>
        <v/>
      </c>
      <c r="H6" s="17" t="str">
        <f>IFERROR(INDEX(登録!$H$2:$H$201,MATCH($A6&amp;"_"&amp;TEXT(H4,"YYYY-MM-DD"),登録!$G$2:$G$201,0)),"")</f>
        <v/>
      </c>
    </row>
    <row r="7" spans="1:8" ht="31.5" customHeight="1">
      <c r="A7" s="16" t="str">
        <f>設定!$A$4</f>
        <v>鈴木</v>
      </c>
      <c r="B7" s="17" t="str">
        <f>IFERROR(INDEX(登録!$H$2:$H$201,MATCH($A7&amp;"_"&amp;TEXT(B4,"YYYY-MM-DD"),登録!$G$2:$G$201,0)),"")</f>
        <v/>
      </c>
      <c r="C7" s="17" t="str">
        <f>IFERROR(INDEX(登録!$H$2:$H$201,MATCH($A7&amp;"_"&amp;TEXT(C4,"YYYY-MM-DD"),登録!$G$2:$G$201,0)),"")</f>
        <v/>
      </c>
      <c r="D7" s="17" t="str">
        <f>IFERROR(INDEX(登録!$H$2:$H$201,MATCH($A7&amp;"_"&amp;TEXT(D4,"YYYY-MM-DD"),登録!$G$2:$G$201,0)),"")</f>
        <v/>
      </c>
      <c r="E7" s="17" t="str">
        <f>IFERROR(INDEX(登録!$H$2:$H$201,MATCH($A7&amp;"_"&amp;TEXT(E4,"YYYY-MM-DD"),登録!$G$2:$G$201,0)),"")</f>
        <v/>
      </c>
      <c r="F7" s="17" t="str">
        <f>IFERROR(INDEX(登録!$H$2:$H$201,MATCH($A7&amp;"_"&amp;TEXT(F4,"YYYY-MM-DD"),登録!$G$2:$G$201,0)),"")</f>
        <v/>
      </c>
      <c r="G7" s="17" t="str">
        <f>IFERROR(INDEX(登録!$H$2:$H$201,MATCH($A7&amp;"_"&amp;TEXT(G4,"YYYY-MM-DD"),登録!$G$2:$G$201,0)),"")</f>
        <v/>
      </c>
      <c r="H7" s="17" t="str">
        <f>IFERROR(INDEX(登録!$H$2:$H$201,MATCH($A7&amp;"_"&amp;TEXT(H4,"YYYY-MM-DD"),登録!$G$2:$G$201,0)),"")</f>
        <v/>
      </c>
    </row>
    <row r="8" spans="1:8" ht="31.5" customHeight="1">
      <c r="A8" s="16" t="str">
        <f>設定!$A$5</f>
        <v>田中</v>
      </c>
      <c r="B8" s="17" t="str">
        <f>IFERROR(INDEX(登録!$H$2:$H$201,MATCH($A8&amp;"_"&amp;TEXT(B4,"YYYY-MM-DD"),登録!$G$2:$G$201,0)),"")</f>
        <v/>
      </c>
      <c r="C8" s="17" t="str">
        <f>IFERROR(INDEX(登録!$H$2:$H$201,MATCH($A8&amp;"_"&amp;TEXT(C4,"YYYY-MM-DD"),登録!$G$2:$G$201,0)),"")</f>
        <v/>
      </c>
      <c r="D8" s="17" t="str">
        <f>IFERROR(INDEX(登録!$H$2:$H$201,MATCH($A8&amp;"_"&amp;TEXT(D4,"YYYY-MM-DD"),登録!$G$2:$G$201,0)),"")</f>
        <v/>
      </c>
      <c r="E8" s="17" t="str">
        <f>IFERROR(INDEX(登録!$H$2:$H$201,MATCH($A8&amp;"_"&amp;TEXT(E4,"YYYY-MM-DD"),登録!$G$2:$G$201,0)),"")</f>
        <v/>
      </c>
      <c r="F8" s="17" t="str">
        <f>IFERROR(INDEX(登録!$H$2:$H$201,MATCH($A8&amp;"_"&amp;TEXT(F4,"YYYY-MM-DD"),登録!$G$2:$G$201,0)),"")</f>
        <v/>
      </c>
      <c r="G8" s="17" t="str">
        <f>IFERROR(INDEX(登録!$H$2:$H$201,MATCH($A8&amp;"_"&amp;TEXT(G4,"YYYY-MM-DD"),登録!$G$2:$G$201,0)),"")</f>
        <v/>
      </c>
      <c r="H8" s="17" t="str">
        <f>IFERROR(INDEX(登録!$H$2:$H$201,MATCH($A8&amp;"_"&amp;TEXT(H4,"YYYY-MM-DD"),登録!$G$2:$G$201,0)),"")</f>
        <v/>
      </c>
    </row>
    <row r="9" spans="1:8" ht="13.5" customHeight="1">
      <c r="A9" s="14"/>
      <c r="B9" s="15">
        <f t="shared" ref="B9:H9" si="1">B4+7</f>
        <v>46236</v>
      </c>
      <c r="C9" s="15">
        <f t="shared" si="1"/>
        <v>46237</v>
      </c>
      <c r="D9" s="15">
        <f t="shared" si="1"/>
        <v>46238</v>
      </c>
      <c r="E9" s="15">
        <f t="shared" si="1"/>
        <v>46239</v>
      </c>
      <c r="F9" s="15">
        <f t="shared" si="1"/>
        <v>46240</v>
      </c>
      <c r="G9" s="15">
        <f t="shared" si="1"/>
        <v>46241</v>
      </c>
      <c r="H9" s="15">
        <f t="shared" si="1"/>
        <v>46242</v>
      </c>
    </row>
    <row r="10" spans="1:8" ht="31.5" customHeight="1">
      <c r="A10" s="16" t="str">
        <f>設定!$A$2</f>
        <v>山田</v>
      </c>
      <c r="B10" s="17" t="str">
        <f>IFERROR(INDEX(登録!$H$2:$H$201,MATCH($A10&amp;"_"&amp;TEXT(B9,"YYYY-MM-DD"),登録!$G$2:$G$201,0)),"")</f>
        <v/>
      </c>
      <c r="C10" s="17" t="str">
        <f>IFERROR(INDEX(登録!$H$2:$H$201,MATCH($A10&amp;"_"&amp;TEXT(C9,"YYYY-MM-DD"),登録!$G$2:$G$201,0)),"")</f>
        <v/>
      </c>
      <c r="D10" s="17" t="str">
        <f>IFERROR(INDEX(登録!$H$2:$H$201,MATCH($A10&amp;"_"&amp;TEXT(D9,"YYYY-MM-DD"),登録!$G$2:$G$201,0)),"")</f>
        <v/>
      </c>
      <c r="E10" s="17" t="str">
        <f>IFERROR(INDEX(登録!$H$2:$H$201,MATCH($A10&amp;"_"&amp;TEXT(E9,"YYYY-MM-DD"),登録!$G$2:$G$201,0)),"")</f>
        <v/>
      </c>
      <c r="F10" s="17" t="str">
        <f>IFERROR(INDEX(登録!$H$2:$H$201,MATCH($A10&amp;"_"&amp;TEXT(F9,"YYYY-MM-DD"),登録!$G$2:$G$201,0)),"")</f>
        <v/>
      </c>
      <c r="G10" s="17" t="str">
        <f>IFERROR(INDEX(登録!$H$2:$H$201,MATCH($A10&amp;"_"&amp;TEXT(G9,"YYYY-MM-DD"),登録!$G$2:$G$201,0)),"")</f>
        <v/>
      </c>
      <c r="H10" s="17" t="str">
        <f>IFERROR(INDEX(登録!$H$2:$H$201,MATCH($A10&amp;"_"&amp;TEXT(H9,"YYYY-MM-DD"),登録!$G$2:$G$201,0)),"")</f>
        <v/>
      </c>
    </row>
    <row r="11" spans="1:8" ht="31.5" customHeight="1">
      <c r="A11" s="16" t="str">
        <f>設定!$A$3</f>
        <v>佐藤</v>
      </c>
      <c r="B11" s="17" t="str">
        <f>IFERROR(INDEX(登録!$H$2:$H$201,MATCH($A11&amp;"_"&amp;TEXT(B9,"YYYY-MM-DD"),登録!$G$2:$G$201,0)),"")</f>
        <v/>
      </c>
      <c r="C11" s="17" t="str">
        <f>IFERROR(INDEX(登録!$H$2:$H$201,MATCH($A11&amp;"_"&amp;TEXT(C9,"YYYY-MM-DD"),登録!$G$2:$G$201,0)),"")</f>
        <v/>
      </c>
      <c r="D11" s="17" t="str">
        <f>IFERROR(INDEX(登録!$H$2:$H$201,MATCH($A11&amp;"_"&amp;TEXT(D9,"YYYY-MM-DD"),登録!$G$2:$G$201,0)),"")</f>
        <v/>
      </c>
      <c r="E11" s="17" t="str">
        <f>IFERROR(INDEX(登録!$H$2:$H$201,MATCH($A11&amp;"_"&amp;TEXT(E9,"YYYY-MM-DD"),登録!$G$2:$G$201,0)),"")</f>
        <v/>
      </c>
      <c r="F11" s="17" t="str">
        <f>IFERROR(INDEX(登録!$H$2:$H$201,MATCH($A11&amp;"_"&amp;TEXT(F9,"YYYY-MM-DD"),登録!$G$2:$G$201,0)),"")</f>
        <v/>
      </c>
      <c r="G11" s="17" t="str">
        <f>IFERROR(INDEX(登録!$H$2:$H$201,MATCH($A11&amp;"_"&amp;TEXT(G9,"YYYY-MM-DD"),登録!$G$2:$G$201,0)),"")</f>
        <v/>
      </c>
      <c r="H11" s="17" t="str">
        <f>IFERROR(INDEX(登録!$H$2:$H$201,MATCH($A11&amp;"_"&amp;TEXT(H9,"YYYY-MM-DD"),登録!$G$2:$G$201,0)),"")</f>
        <v/>
      </c>
    </row>
    <row r="12" spans="1:8" ht="31.5" customHeight="1">
      <c r="A12" s="16" t="str">
        <f>設定!$A$4</f>
        <v>鈴木</v>
      </c>
      <c r="B12" s="17" t="str">
        <f>IFERROR(INDEX(登録!$H$2:$H$201,MATCH($A12&amp;"_"&amp;TEXT(B9,"YYYY-MM-DD"),登録!$G$2:$G$201,0)),"")</f>
        <v/>
      </c>
      <c r="C12" s="17" t="str">
        <f>IFERROR(INDEX(登録!$H$2:$H$201,MATCH($A12&amp;"_"&amp;TEXT(C9,"YYYY-MM-DD"),登録!$G$2:$G$201,0)),"")</f>
        <v/>
      </c>
      <c r="D12" s="17" t="str">
        <f>IFERROR(INDEX(登録!$H$2:$H$201,MATCH($A12&amp;"_"&amp;TEXT(D9,"YYYY-MM-DD"),登録!$G$2:$G$201,0)),"")</f>
        <v/>
      </c>
      <c r="E12" s="17" t="str">
        <f>IFERROR(INDEX(登録!$H$2:$H$201,MATCH($A12&amp;"_"&amp;TEXT(E9,"YYYY-MM-DD"),登録!$G$2:$G$201,0)),"")</f>
        <v/>
      </c>
      <c r="F12" s="17" t="str">
        <f>IFERROR(INDEX(登録!$H$2:$H$201,MATCH($A12&amp;"_"&amp;TEXT(F9,"YYYY-MM-DD"),登録!$G$2:$G$201,0)),"")</f>
        <v/>
      </c>
      <c r="G12" s="17" t="str">
        <f>IFERROR(INDEX(登録!$H$2:$H$201,MATCH($A12&amp;"_"&amp;TEXT(G9,"YYYY-MM-DD"),登録!$G$2:$G$201,0)),"")</f>
        <v/>
      </c>
      <c r="H12" s="17" t="str">
        <f>IFERROR(INDEX(登録!$H$2:$H$201,MATCH($A12&amp;"_"&amp;TEXT(H9,"YYYY-MM-DD"),登録!$G$2:$G$201,0)),"")</f>
        <v/>
      </c>
    </row>
    <row r="13" spans="1:8" ht="31.5" customHeight="1">
      <c r="A13" s="16" t="str">
        <f>設定!$A$5</f>
        <v>田中</v>
      </c>
      <c r="B13" s="17" t="str">
        <f>IFERROR(INDEX(登録!$H$2:$H$201,MATCH($A13&amp;"_"&amp;TEXT(B9,"YYYY-MM-DD"),登録!$G$2:$G$201,0)),"")</f>
        <v/>
      </c>
      <c r="C13" s="17" t="str">
        <f>IFERROR(INDEX(登録!$H$2:$H$201,MATCH($A13&amp;"_"&amp;TEXT(C9,"YYYY-MM-DD"),登録!$G$2:$G$201,0)),"")</f>
        <v/>
      </c>
      <c r="D13" s="17" t="str">
        <f>IFERROR(INDEX(登録!$H$2:$H$201,MATCH($A13&amp;"_"&amp;TEXT(D9,"YYYY-MM-DD"),登録!$G$2:$G$201,0)),"")</f>
        <v/>
      </c>
      <c r="E13" s="17" t="str">
        <f>IFERROR(INDEX(登録!$H$2:$H$201,MATCH($A13&amp;"_"&amp;TEXT(E9,"YYYY-MM-DD"),登録!$G$2:$G$201,0)),"")</f>
        <v/>
      </c>
      <c r="F13" s="17" t="str">
        <f>IFERROR(INDEX(登録!$H$2:$H$201,MATCH($A13&amp;"_"&amp;TEXT(F9,"YYYY-MM-DD"),登録!$G$2:$G$201,0)),"")</f>
        <v/>
      </c>
      <c r="G13" s="17" t="str">
        <f>IFERROR(INDEX(登録!$H$2:$H$201,MATCH($A13&amp;"_"&amp;TEXT(G9,"YYYY-MM-DD"),登録!$G$2:$G$201,0)),"")</f>
        <v/>
      </c>
      <c r="H13" s="17" t="str">
        <f>IFERROR(INDEX(登録!$H$2:$H$201,MATCH($A13&amp;"_"&amp;TEXT(H9,"YYYY-MM-DD"),登録!$G$2:$G$201,0)),"")</f>
        <v/>
      </c>
    </row>
    <row r="14" spans="1:8" ht="13.5" customHeight="1">
      <c r="A14" s="14"/>
      <c r="B14" s="15">
        <f t="shared" ref="B14:H14" si="2">B9+7</f>
        <v>46243</v>
      </c>
      <c r="C14" s="15">
        <f t="shared" si="2"/>
        <v>46244</v>
      </c>
      <c r="D14" s="15">
        <f t="shared" si="2"/>
        <v>46245</v>
      </c>
      <c r="E14" s="15">
        <f t="shared" si="2"/>
        <v>46246</v>
      </c>
      <c r="F14" s="15">
        <f t="shared" si="2"/>
        <v>46247</v>
      </c>
      <c r="G14" s="15">
        <f t="shared" si="2"/>
        <v>46248</v>
      </c>
      <c r="H14" s="15">
        <f t="shared" si="2"/>
        <v>46249</v>
      </c>
    </row>
    <row r="15" spans="1:8" ht="31.5" customHeight="1">
      <c r="A15" s="16" t="str">
        <f>設定!$A$2</f>
        <v>山田</v>
      </c>
      <c r="B15" s="17" t="str">
        <f>IFERROR(INDEX(登録!$H$2:$H$201,MATCH($A15&amp;"_"&amp;TEXT(B14,"YYYY-MM-DD"),登録!$G$2:$G$201,0)),"")</f>
        <v/>
      </c>
      <c r="C15" s="17" t="str">
        <f>IFERROR(INDEX(登録!$H$2:$H$201,MATCH($A15&amp;"_"&amp;TEXT(C14,"YYYY-MM-DD"),登録!$G$2:$G$201,0)),"")</f>
        <v/>
      </c>
      <c r="D15" s="17" t="str">
        <f>IFERROR(INDEX(登録!$H$2:$H$201,MATCH($A15&amp;"_"&amp;TEXT(D14,"YYYY-MM-DD"),登録!$G$2:$G$201,0)),"")</f>
        <v/>
      </c>
      <c r="E15" s="17" t="str">
        <f>IFERROR(INDEX(登録!$H$2:$H$201,MATCH($A15&amp;"_"&amp;TEXT(E14,"YYYY-MM-DD"),登録!$G$2:$G$201,0)),"")</f>
        <v/>
      </c>
      <c r="F15" s="17" t="str">
        <f>IFERROR(INDEX(登録!$H$2:$H$201,MATCH($A15&amp;"_"&amp;TEXT(F14,"YYYY-MM-DD"),登録!$G$2:$G$201,0)),"")</f>
        <v/>
      </c>
      <c r="G15" s="17" t="str">
        <f>IFERROR(INDEX(登録!$H$2:$H$201,MATCH($A15&amp;"_"&amp;TEXT(G14,"YYYY-MM-DD"),登録!$G$2:$G$201,0)),"")</f>
        <v/>
      </c>
      <c r="H15" s="17" t="str">
        <f>IFERROR(INDEX(登録!$H$2:$H$201,MATCH($A15&amp;"_"&amp;TEXT(H14,"YYYY-MM-DD"),登録!$G$2:$G$201,0)),"")</f>
        <v/>
      </c>
    </row>
    <row r="16" spans="1:8" ht="31.5" customHeight="1">
      <c r="A16" s="16" t="str">
        <f>設定!$A$3</f>
        <v>佐藤</v>
      </c>
      <c r="B16" s="17" t="str">
        <f>IFERROR(INDEX(登録!$H$2:$H$201,MATCH($A16&amp;"_"&amp;TEXT(B14,"YYYY-MM-DD"),登録!$G$2:$G$201,0)),"")</f>
        <v/>
      </c>
      <c r="C16" s="17" t="str">
        <f>IFERROR(INDEX(登録!$H$2:$H$201,MATCH($A16&amp;"_"&amp;TEXT(C14,"YYYY-MM-DD"),登録!$G$2:$G$201,0)),"")</f>
        <v/>
      </c>
      <c r="D16" s="17" t="str">
        <f>IFERROR(INDEX(登録!$H$2:$H$201,MATCH($A16&amp;"_"&amp;TEXT(D14,"YYYY-MM-DD"),登録!$G$2:$G$201,0)),"")</f>
        <v/>
      </c>
      <c r="E16" s="17" t="str">
        <f>IFERROR(INDEX(登録!$H$2:$H$201,MATCH($A16&amp;"_"&amp;TEXT(E14,"YYYY-MM-DD"),登録!$G$2:$G$201,0)),"")</f>
        <v/>
      </c>
      <c r="F16" s="17" t="str">
        <f>IFERROR(INDEX(登録!$H$2:$H$201,MATCH($A16&amp;"_"&amp;TEXT(F14,"YYYY-MM-DD"),登録!$G$2:$G$201,0)),"")</f>
        <v/>
      </c>
      <c r="G16" s="17" t="str">
        <f>IFERROR(INDEX(登録!$H$2:$H$201,MATCH($A16&amp;"_"&amp;TEXT(G14,"YYYY-MM-DD"),登録!$G$2:$G$201,0)),"")</f>
        <v/>
      </c>
      <c r="H16" s="17" t="str">
        <f>IFERROR(INDEX(登録!$H$2:$H$201,MATCH($A16&amp;"_"&amp;TEXT(H14,"YYYY-MM-DD"),登録!$G$2:$G$201,0)),"")</f>
        <v/>
      </c>
    </row>
    <row r="17" spans="1:8" ht="31.5" customHeight="1">
      <c r="A17" s="16" t="str">
        <f>設定!$A$4</f>
        <v>鈴木</v>
      </c>
      <c r="B17" s="17" t="str">
        <f>IFERROR(INDEX(登録!$H$2:$H$201,MATCH($A17&amp;"_"&amp;TEXT(B14,"YYYY-MM-DD"),登録!$G$2:$G$201,0)),"")</f>
        <v/>
      </c>
      <c r="C17" s="17" t="str">
        <f>IFERROR(INDEX(登録!$H$2:$H$201,MATCH($A17&amp;"_"&amp;TEXT(C14,"YYYY-MM-DD"),登録!$G$2:$G$201,0)),"")</f>
        <v/>
      </c>
      <c r="D17" s="17" t="str">
        <f>IFERROR(INDEX(登録!$H$2:$H$201,MATCH($A17&amp;"_"&amp;TEXT(D14,"YYYY-MM-DD"),登録!$G$2:$G$201,0)),"")</f>
        <v/>
      </c>
      <c r="E17" s="17" t="str">
        <f>IFERROR(INDEX(登録!$H$2:$H$201,MATCH($A17&amp;"_"&amp;TEXT(E14,"YYYY-MM-DD"),登録!$G$2:$G$201,0)),"")</f>
        <v/>
      </c>
      <c r="F17" s="17" t="str">
        <f>IFERROR(INDEX(登録!$H$2:$H$201,MATCH($A17&amp;"_"&amp;TEXT(F14,"YYYY-MM-DD"),登録!$G$2:$G$201,0)),"")</f>
        <v/>
      </c>
      <c r="G17" s="17" t="str">
        <f>IFERROR(INDEX(登録!$H$2:$H$201,MATCH($A17&amp;"_"&amp;TEXT(G14,"YYYY-MM-DD"),登録!$G$2:$G$201,0)),"")</f>
        <v/>
      </c>
      <c r="H17" s="17" t="str">
        <f>IFERROR(INDEX(登録!$H$2:$H$201,MATCH($A17&amp;"_"&amp;TEXT(H14,"YYYY-MM-DD"),登録!$G$2:$G$201,0)),"")</f>
        <v/>
      </c>
    </row>
    <row r="18" spans="1:8" ht="31.5" customHeight="1">
      <c r="A18" s="16" t="str">
        <f>設定!$A$5</f>
        <v>田中</v>
      </c>
      <c r="B18" s="17" t="str">
        <f>IFERROR(INDEX(登録!$H$2:$H$201,MATCH($A18&amp;"_"&amp;TEXT(B14,"YYYY-MM-DD"),登録!$G$2:$G$201,0)),"")</f>
        <v/>
      </c>
      <c r="C18" s="17" t="str">
        <f>IFERROR(INDEX(登録!$H$2:$H$201,MATCH($A18&amp;"_"&amp;TEXT(C14,"YYYY-MM-DD"),登録!$G$2:$G$201,0)),"")</f>
        <v/>
      </c>
      <c r="D18" s="17" t="str">
        <f>IFERROR(INDEX(登録!$H$2:$H$201,MATCH($A18&amp;"_"&amp;TEXT(D14,"YYYY-MM-DD"),登録!$G$2:$G$201,0)),"")</f>
        <v/>
      </c>
      <c r="E18" s="17" t="str">
        <f>IFERROR(INDEX(登録!$H$2:$H$201,MATCH($A18&amp;"_"&amp;TEXT(E14,"YYYY-MM-DD"),登録!$G$2:$G$201,0)),"")</f>
        <v/>
      </c>
      <c r="F18" s="17" t="str">
        <f>IFERROR(INDEX(登録!$H$2:$H$201,MATCH($A18&amp;"_"&amp;TEXT(F14,"YYYY-MM-DD"),登録!$G$2:$G$201,0)),"")</f>
        <v/>
      </c>
      <c r="G18" s="17" t="str">
        <f>IFERROR(INDEX(登録!$H$2:$H$201,MATCH($A18&amp;"_"&amp;TEXT(G14,"YYYY-MM-DD"),登録!$G$2:$G$201,0)),"")</f>
        <v/>
      </c>
      <c r="H18" s="17" t="str">
        <f>IFERROR(INDEX(登録!$H$2:$H$201,MATCH($A18&amp;"_"&amp;TEXT(H14,"YYYY-MM-DD"),登録!$G$2:$G$201,0)),"")</f>
        <v/>
      </c>
    </row>
    <row r="19" spans="1:8" ht="13.5" customHeight="1">
      <c r="A19" s="14"/>
      <c r="B19" s="15">
        <f t="shared" ref="B19:H19" si="3">B14+7</f>
        <v>46250</v>
      </c>
      <c r="C19" s="15">
        <f t="shared" si="3"/>
        <v>46251</v>
      </c>
      <c r="D19" s="15">
        <f t="shared" si="3"/>
        <v>46252</v>
      </c>
      <c r="E19" s="15">
        <f t="shared" si="3"/>
        <v>46253</v>
      </c>
      <c r="F19" s="15">
        <f t="shared" si="3"/>
        <v>46254</v>
      </c>
      <c r="G19" s="15">
        <f t="shared" si="3"/>
        <v>46255</v>
      </c>
      <c r="H19" s="15">
        <f t="shared" si="3"/>
        <v>46256</v>
      </c>
    </row>
    <row r="20" spans="1:8" ht="31.5" customHeight="1">
      <c r="A20" s="16" t="str">
        <f>設定!$A$2</f>
        <v>山田</v>
      </c>
      <c r="B20" s="17" t="str">
        <f>IFERROR(INDEX(登録!$H$2:$H$201,MATCH($A20&amp;"_"&amp;TEXT(B19,"YYYY-MM-DD"),登録!$G$2:$G$201,0)),"")</f>
        <v/>
      </c>
      <c r="C20" s="17" t="str">
        <f>IFERROR(INDEX(登録!$H$2:$H$201,MATCH($A20&amp;"_"&amp;TEXT(C19,"YYYY-MM-DD"),登録!$G$2:$G$201,0)),"")</f>
        <v/>
      </c>
      <c r="D20" s="17" t="str">
        <f>IFERROR(INDEX(登録!$H$2:$H$201,MATCH($A20&amp;"_"&amp;TEXT(D19,"YYYY-MM-DD"),登録!$G$2:$G$201,0)),"")</f>
        <v/>
      </c>
      <c r="E20" s="17" t="str">
        <f>IFERROR(INDEX(登録!$H$2:$H$201,MATCH($A20&amp;"_"&amp;TEXT(E19,"YYYY-MM-DD"),登録!$G$2:$G$201,0)),"")</f>
        <v/>
      </c>
      <c r="F20" s="17" t="str">
        <f>IFERROR(INDEX(登録!$H$2:$H$201,MATCH($A20&amp;"_"&amp;TEXT(F19,"YYYY-MM-DD"),登録!$G$2:$G$201,0)),"")</f>
        <v>出勤 09:00 - 18:00(確定)</v>
      </c>
      <c r="G20" s="17" t="str">
        <f>IFERROR(INDEX(登録!$H$2:$H$201,MATCH($A20&amp;"_"&amp;TEXT(G19,"YYYY-MM-DD"),登録!$G$2:$G$201,0)),"")</f>
        <v/>
      </c>
      <c r="H20" s="17" t="str">
        <f>IFERROR(INDEX(登録!$H$2:$H$201,MATCH($A20&amp;"_"&amp;TEXT(H19,"YYYY-MM-DD"),登録!$G$2:$G$201,0)),"")</f>
        <v/>
      </c>
    </row>
    <row r="21" spans="1:8" ht="31.5" customHeight="1">
      <c r="A21" s="16" t="str">
        <f>設定!$A$3</f>
        <v>佐藤</v>
      </c>
      <c r="B21" s="17" t="str">
        <f>IFERROR(INDEX(登録!$H$2:$H$201,MATCH($A21&amp;"_"&amp;TEXT(B19,"YYYY-MM-DD"),登録!$G$2:$G$201,0)),"")</f>
        <v/>
      </c>
      <c r="C21" s="17" t="str">
        <f>IFERROR(INDEX(登録!$H$2:$H$201,MATCH($A21&amp;"_"&amp;TEXT(C19,"YYYY-MM-DD"),登録!$G$2:$G$201,0)),"")</f>
        <v/>
      </c>
      <c r="D21" s="17" t="str">
        <f>IFERROR(INDEX(登録!$H$2:$H$201,MATCH($A21&amp;"_"&amp;TEXT(D19,"YYYY-MM-DD"),登録!$G$2:$G$201,0)),"")</f>
        <v/>
      </c>
      <c r="E21" s="17" t="str">
        <f>IFERROR(INDEX(登録!$H$2:$H$201,MATCH($A21&amp;"_"&amp;TEXT(E19,"YYYY-MM-DD"),登録!$G$2:$G$201,0)),"")</f>
        <v/>
      </c>
      <c r="F21" s="17" t="str">
        <f>IFERROR(INDEX(登録!$H$2:$H$201,MATCH($A21&amp;"_"&amp;TEXT(F19,"YYYY-MM-DD"),登録!$G$2:$G$201,0)),"")</f>
        <v>リモート(希望)</v>
      </c>
      <c r="G21" s="17" t="str">
        <f>IFERROR(INDEX(登録!$H$2:$H$201,MATCH($A21&amp;"_"&amp;TEXT(G19,"YYYY-MM-DD"),登録!$G$2:$G$201,0)),"")</f>
        <v/>
      </c>
      <c r="H21" s="17" t="str">
        <f>IFERROR(INDEX(登録!$H$2:$H$201,MATCH($A21&amp;"_"&amp;TEXT(H19,"YYYY-MM-DD"),登録!$G$2:$G$201,0)),"")</f>
        <v/>
      </c>
    </row>
    <row r="22" spans="1:8" ht="31.5" customHeight="1">
      <c r="A22" s="16" t="str">
        <f>設定!$A$4</f>
        <v>鈴木</v>
      </c>
      <c r="B22" s="17" t="str">
        <f>IFERROR(INDEX(登録!$H$2:$H$201,MATCH($A22&amp;"_"&amp;TEXT(B19,"YYYY-MM-DD"),登録!$G$2:$G$201,0)),"")</f>
        <v/>
      </c>
      <c r="C22" s="17" t="str">
        <f>IFERROR(INDEX(登録!$H$2:$H$201,MATCH($A22&amp;"_"&amp;TEXT(C19,"YYYY-MM-DD"),登録!$G$2:$G$201,0)),"")</f>
        <v/>
      </c>
      <c r="D22" s="17" t="str">
        <f>IFERROR(INDEX(登録!$H$2:$H$201,MATCH($A22&amp;"_"&amp;TEXT(D19,"YYYY-MM-DD"),登録!$G$2:$G$201,0)),"")</f>
        <v/>
      </c>
      <c r="E22" s="17" t="str">
        <f>IFERROR(INDEX(登録!$H$2:$H$201,MATCH($A22&amp;"_"&amp;TEXT(E19,"YYYY-MM-DD"),登録!$G$2:$G$201,0)),"")</f>
        <v/>
      </c>
      <c r="F22" s="17" t="str">
        <f>IFERROR(INDEX(登録!$H$2:$H$201,MATCH($A22&amp;"_"&amp;TEXT(F19,"YYYY-MM-DD"),登録!$G$2:$G$201,0)),"")</f>
        <v/>
      </c>
      <c r="G22" s="17" t="str">
        <f>IFERROR(INDEX(登録!$H$2:$H$201,MATCH($A22&amp;"_"&amp;TEXT(G19,"YYYY-MM-DD"),登録!$G$2:$G$201,0)),"")</f>
        <v>欠勤(確定)</v>
      </c>
      <c r="H22" s="17" t="str">
        <f>IFERROR(INDEX(登録!$H$2:$H$201,MATCH($A22&amp;"_"&amp;TEXT(H19,"YYYY-MM-DD"),登録!$G$2:$G$201,0)),"")</f>
        <v/>
      </c>
    </row>
    <row r="23" spans="1:8" ht="31.5" customHeight="1">
      <c r="A23" s="16" t="str">
        <f>設定!$A$5</f>
        <v>田中</v>
      </c>
      <c r="B23" s="17" t="str">
        <f>IFERROR(INDEX(登録!$H$2:$H$201,MATCH($A23&amp;"_"&amp;TEXT(B19,"YYYY-MM-DD"),登録!$G$2:$G$201,0)),"")</f>
        <v/>
      </c>
      <c r="C23" s="17" t="str">
        <f>IFERROR(INDEX(登録!$H$2:$H$201,MATCH($A23&amp;"_"&amp;TEXT(C19,"YYYY-MM-DD"),登録!$G$2:$G$201,0)),"")</f>
        <v/>
      </c>
      <c r="D23" s="17" t="str">
        <f>IFERROR(INDEX(登録!$H$2:$H$201,MATCH($A23&amp;"_"&amp;TEXT(D19,"YYYY-MM-DD"),登録!$G$2:$G$201,0)),"")</f>
        <v/>
      </c>
      <c r="E23" s="17" t="str">
        <f>IFERROR(INDEX(登録!$H$2:$H$201,MATCH($A23&amp;"_"&amp;TEXT(E19,"YYYY-MM-DD"),登録!$G$2:$G$201,0)),"")</f>
        <v/>
      </c>
      <c r="F23" s="17" t="str">
        <f>IFERROR(INDEX(登録!$H$2:$H$201,MATCH($A23&amp;"_"&amp;TEXT(F19,"YYYY-MM-DD"),登録!$G$2:$G$201,0)),"")</f>
        <v/>
      </c>
      <c r="G23" s="17" t="str">
        <f>IFERROR(INDEX(登録!$H$2:$H$201,MATCH($A23&amp;"_"&amp;TEXT(G19,"YYYY-MM-DD"),登録!$G$2:$G$201,0)),"")</f>
        <v/>
      </c>
      <c r="H23" s="17" t="str">
        <f>IFERROR(INDEX(登録!$H$2:$H$201,MATCH($A23&amp;"_"&amp;TEXT(H19,"YYYY-MM-DD"),登録!$G$2:$G$201,0)),"")</f>
        <v>未定(希望)</v>
      </c>
    </row>
    <row r="24" spans="1:8" ht="13.5" customHeight="1">
      <c r="A24" s="14"/>
      <c r="B24" s="15">
        <f t="shared" ref="B24:H24" si="4">B19+7</f>
        <v>46257</v>
      </c>
      <c r="C24" s="15">
        <f t="shared" si="4"/>
        <v>46258</v>
      </c>
      <c r="D24" s="15">
        <f t="shared" si="4"/>
        <v>46259</v>
      </c>
      <c r="E24" s="15">
        <f t="shared" si="4"/>
        <v>46260</v>
      </c>
      <c r="F24" s="15">
        <f t="shared" si="4"/>
        <v>46261</v>
      </c>
      <c r="G24" s="15">
        <f t="shared" si="4"/>
        <v>46262</v>
      </c>
      <c r="H24" s="15">
        <f t="shared" si="4"/>
        <v>46263</v>
      </c>
    </row>
    <row r="25" spans="1:8" ht="31.5" customHeight="1">
      <c r="A25" s="16" t="str">
        <f>設定!$A$2</f>
        <v>山田</v>
      </c>
      <c r="B25" s="17" t="str">
        <f>IFERROR(INDEX(登録!$H$2:$H$201,MATCH($A25&amp;"_"&amp;TEXT(B24,"YYYY-MM-DD"),登録!$G$2:$G$201,0)),"")</f>
        <v/>
      </c>
      <c r="C25" s="17" t="str">
        <f>IFERROR(INDEX(登録!$H$2:$H$201,MATCH($A25&amp;"_"&amp;TEXT(C24,"YYYY-MM-DD"),登録!$G$2:$G$201,0)),"")</f>
        <v/>
      </c>
      <c r="D25" s="17" t="str">
        <f>IFERROR(INDEX(登録!$H$2:$H$201,MATCH($A25&amp;"_"&amp;TEXT(D24,"YYYY-MM-DD"),登録!$G$2:$G$201,0)),"")</f>
        <v/>
      </c>
      <c r="E25" s="17" t="str">
        <f>IFERROR(INDEX(登録!$H$2:$H$201,MATCH($A25&amp;"_"&amp;TEXT(E24,"YYYY-MM-DD"),登録!$G$2:$G$201,0)),"")</f>
        <v/>
      </c>
      <c r="F25" s="17" t="str">
        <f>IFERROR(INDEX(登録!$H$2:$H$201,MATCH($A25&amp;"_"&amp;TEXT(F24,"YYYY-MM-DD"),登録!$G$2:$G$201,0)),"")</f>
        <v/>
      </c>
      <c r="G25" s="17" t="str">
        <f>IFERROR(INDEX(登録!$H$2:$H$201,MATCH($A25&amp;"_"&amp;TEXT(G24,"YYYY-MM-DD"),登録!$G$2:$G$201,0)),"")</f>
        <v/>
      </c>
      <c r="H25" s="17" t="str">
        <f>IFERROR(INDEX(登録!$H$2:$H$201,MATCH($A25&amp;"_"&amp;TEXT(H24,"YYYY-MM-DD"),登録!$G$2:$G$201,0)),"")</f>
        <v/>
      </c>
    </row>
    <row r="26" spans="1:8" ht="31.5" customHeight="1">
      <c r="A26" s="16" t="str">
        <f>設定!$A$3</f>
        <v>佐藤</v>
      </c>
      <c r="B26" s="17" t="str">
        <f>IFERROR(INDEX(登録!$H$2:$H$201,MATCH($A26&amp;"_"&amp;TEXT(B24,"YYYY-MM-DD"),登録!$G$2:$G$201,0)),"")</f>
        <v/>
      </c>
      <c r="C26" s="17" t="str">
        <f>IFERROR(INDEX(登録!$H$2:$H$201,MATCH($A26&amp;"_"&amp;TEXT(C24,"YYYY-MM-DD"),登録!$G$2:$G$201,0)),"")</f>
        <v/>
      </c>
      <c r="D26" s="17" t="str">
        <f>IFERROR(INDEX(登録!$H$2:$H$201,MATCH($A26&amp;"_"&amp;TEXT(D24,"YYYY-MM-DD"),登録!$G$2:$G$201,0)),"")</f>
        <v/>
      </c>
      <c r="E26" s="17" t="str">
        <f>IFERROR(INDEX(登録!$H$2:$H$201,MATCH($A26&amp;"_"&amp;TEXT(E24,"YYYY-MM-DD"),登録!$G$2:$G$201,0)),"")</f>
        <v/>
      </c>
      <c r="F26" s="17" t="str">
        <f>IFERROR(INDEX(登録!$H$2:$H$201,MATCH($A26&amp;"_"&amp;TEXT(F24,"YYYY-MM-DD"),登録!$G$2:$G$201,0)),"")</f>
        <v/>
      </c>
      <c r="G26" s="17" t="str">
        <f>IFERROR(INDEX(登録!$H$2:$H$201,MATCH($A26&amp;"_"&amp;TEXT(G24,"YYYY-MM-DD"),登録!$G$2:$G$201,0)),"")</f>
        <v/>
      </c>
      <c r="H26" s="17" t="str">
        <f>IFERROR(INDEX(登録!$H$2:$H$201,MATCH($A26&amp;"_"&amp;TEXT(H24,"YYYY-MM-DD"),登録!$G$2:$G$201,0)),"")</f>
        <v/>
      </c>
    </row>
    <row r="27" spans="1:8" ht="31.5" customHeight="1">
      <c r="A27" s="16" t="str">
        <f>設定!$A$4</f>
        <v>鈴木</v>
      </c>
      <c r="B27" s="17" t="str">
        <f>IFERROR(INDEX(登録!$H$2:$H$201,MATCH($A27&amp;"_"&amp;TEXT(B24,"YYYY-MM-DD"),登録!$G$2:$G$201,0)),"")</f>
        <v/>
      </c>
      <c r="C27" s="17" t="str">
        <f>IFERROR(INDEX(登録!$H$2:$H$201,MATCH($A27&amp;"_"&amp;TEXT(C24,"YYYY-MM-DD"),登録!$G$2:$G$201,0)),"")</f>
        <v/>
      </c>
      <c r="D27" s="17" t="str">
        <f>IFERROR(INDEX(登録!$H$2:$H$201,MATCH($A27&amp;"_"&amp;TEXT(D24,"YYYY-MM-DD"),登録!$G$2:$G$201,0)),"")</f>
        <v/>
      </c>
      <c r="E27" s="17" t="str">
        <f>IFERROR(INDEX(登録!$H$2:$H$201,MATCH($A27&amp;"_"&amp;TEXT(E24,"YYYY-MM-DD"),登録!$G$2:$G$201,0)),"")</f>
        <v/>
      </c>
      <c r="F27" s="17" t="str">
        <f>IFERROR(INDEX(登録!$H$2:$H$201,MATCH($A27&amp;"_"&amp;TEXT(F24,"YYYY-MM-DD"),登録!$G$2:$G$201,0)),"")</f>
        <v/>
      </c>
      <c r="G27" s="17" t="str">
        <f>IFERROR(INDEX(登録!$H$2:$H$201,MATCH($A27&amp;"_"&amp;TEXT(G24,"YYYY-MM-DD"),登録!$G$2:$G$201,0)),"")</f>
        <v/>
      </c>
      <c r="H27" s="17" t="str">
        <f>IFERROR(INDEX(登録!$H$2:$H$201,MATCH($A27&amp;"_"&amp;TEXT(H24,"YYYY-MM-DD"),登録!$G$2:$G$201,0)),"")</f>
        <v/>
      </c>
    </row>
    <row r="28" spans="1:8" ht="31.5" customHeight="1">
      <c r="A28" s="16" t="str">
        <f>設定!$A$5</f>
        <v>田中</v>
      </c>
      <c r="B28" s="17" t="str">
        <f>IFERROR(INDEX(登録!$H$2:$H$201,MATCH($A28&amp;"_"&amp;TEXT(B24,"YYYY-MM-DD"),登録!$G$2:$G$201,0)),"")</f>
        <v/>
      </c>
      <c r="C28" s="17" t="str">
        <f>IFERROR(INDEX(登録!$H$2:$H$201,MATCH($A28&amp;"_"&amp;TEXT(C24,"YYYY-MM-DD"),登録!$G$2:$G$201,0)),"")</f>
        <v/>
      </c>
      <c r="D28" s="17" t="str">
        <f>IFERROR(INDEX(登録!$H$2:$H$201,MATCH($A28&amp;"_"&amp;TEXT(D24,"YYYY-MM-DD"),登録!$G$2:$G$201,0)),"")</f>
        <v/>
      </c>
      <c r="E28" s="17" t="str">
        <f>IFERROR(INDEX(登録!$H$2:$H$201,MATCH($A28&amp;"_"&amp;TEXT(E24,"YYYY-MM-DD"),登録!$G$2:$G$201,0)),"")</f>
        <v/>
      </c>
      <c r="F28" s="17" t="str">
        <f>IFERROR(INDEX(登録!$H$2:$H$201,MATCH($A28&amp;"_"&amp;TEXT(F24,"YYYY-MM-DD"),登録!$G$2:$G$201,0)),"")</f>
        <v/>
      </c>
      <c r="G28" s="17" t="str">
        <f>IFERROR(INDEX(登録!$H$2:$H$201,MATCH($A28&amp;"_"&amp;TEXT(G24,"YYYY-MM-DD"),登録!$G$2:$G$201,0)),"")</f>
        <v/>
      </c>
      <c r="H28" s="17" t="str">
        <f>IFERROR(INDEX(登録!$H$2:$H$201,MATCH($A28&amp;"_"&amp;TEXT(H24,"YYYY-MM-DD"),登録!$G$2:$G$201,0)),"")</f>
        <v/>
      </c>
    </row>
    <row r="29" spans="1:8" ht="13.5" customHeight="1">
      <c r="A29" s="14"/>
      <c r="B29" s="15">
        <f t="shared" ref="B29:H29" si="5">B24+7</f>
        <v>46264</v>
      </c>
      <c r="C29" s="15">
        <f t="shared" si="5"/>
        <v>46265</v>
      </c>
      <c r="D29" s="15">
        <f t="shared" si="5"/>
        <v>46266</v>
      </c>
      <c r="E29" s="15">
        <f t="shared" si="5"/>
        <v>46267</v>
      </c>
      <c r="F29" s="15">
        <f t="shared" si="5"/>
        <v>46268</v>
      </c>
      <c r="G29" s="15">
        <f t="shared" si="5"/>
        <v>46269</v>
      </c>
      <c r="H29" s="15">
        <f t="shared" si="5"/>
        <v>46270</v>
      </c>
    </row>
    <row r="30" spans="1:8" ht="31.5" customHeight="1">
      <c r="A30" s="16" t="str">
        <f>設定!$A$2</f>
        <v>山田</v>
      </c>
      <c r="B30" s="17" t="str">
        <f>IFERROR(INDEX(登録!$H$2:$H$201,MATCH($A30&amp;"_"&amp;TEXT(B29,"YYYY-MM-DD"),登録!$G$2:$G$201,0)),"")</f>
        <v/>
      </c>
      <c r="C30" s="17" t="str">
        <f>IFERROR(INDEX(登録!$H$2:$H$201,MATCH($A30&amp;"_"&amp;TEXT(C29,"YYYY-MM-DD"),登録!$G$2:$G$201,0)),"")</f>
        <v/>
      </c>
      <c r="D30" s="17" t="str">
        <f>IFERROR(INDEX(登録!$H$2:$H$201,MATCH($A30&amp;"_"&amp;TEXT(D29,"YYYY-MM-DD"),登録!$G$2:$G$201,0)),"")</f>
        <v/>
      </c>
      <c r="E30" s="17" t="str">
        <f>IFERROR(INDEX(登録!$H$2:$H$201,MATCH($A30&amp;"_"&amp;TEXT(E29,"YYYY-MM-DD"),登録!$G$2:$G$201,0)),"")</f>
        <v/>
      </c>
      <c r="F30" s="17" t="str">
        <f>IFERROR(INDEX(登録!$H$2:$H$201,MATCH($A30&amp;"_"&amp;TEXT(F29,"YYYY-MM-DD"),登録!$G$2:$G$201,0)),"")</f>
        <v/>
      </c>
      <c r="G30" s="17" t="str">
        <f>IFERROR(INDEX(登録!$H$2:$H$201,MATCH($A30&amp;"_"&amp;TEXT(G29,"YYYY-MM-DD"),登録!$G$2:$G$201,0)),"")</f>
        <v/>
      </c>
      <c r="H30" s="17" t="str">
        <f>IFERROR(INDEX(登録!$H$2:$H$201,MATCH($A30&amp;"_"&amp;TEXT(H29,"YYYY-MM-DD"),登録!$G$2:$G$201,0)),"")</f>
        <v/>
      </c>
    </row>
    <row r="31" spans="1:8" ht="31.5" customHeight="1">
      <c r="A31" s="16" t="str">
        <f>設定!$A$3</f>
        <v>佐藤</v>
      </c>
      <c r="B31" s="17" t="str">
        <f>IFERROR(INDEX(登録!$H$2:$H$201,MATCH($A31&amp;"_"&amp;TEXT(B29,"YYYY-MM-DD"),登録!$G$2:$G$201,0)),"")</f>
        <v/>
      </c>
      <c r="C31" s="17" t="str">
        <f>IFERROR(INDEX(登録!$H$2:$H$201,MATCH($A31&amp;"_"&amp;TEXT(C29,"YYYY-MM-DD"),登録!$G$2:$G$201,0)),"")</f>
        <v/>
      </c>
      <c r="D31" s="17" t="str">
        <f>IFERROR(INDEX(登録!$H$2:$H$201,MATCH($A31&amp;"_"&amp;TEXT(D29,"YYYY-MM-DD"),登録!$G$2:$G$201,0)),"")</f>
        <v/>
      </c>
      <c r="E31" s="17" t="str">
        <f>IFERROR(INDEX(登録!$H$2:$H$201,MATCH($A31&amp;"_"&amp;TEXT(E29,"YYYY-MM-DD"),登録!$G$2:$G$201,0)),"")</f>
        <v/>
      </c>
      <c r="F31" s="17" t="str">
        <f>IFERROR(INDEX(登録!$H$2:$H$201,MATCH($A31&amp;"_"&amp;TEXT(F29,"YYYY-MM-DD"),登録!$G$2:$G$201,0)),"")</f>
        <v/>
      </c>
      <c r="G31" s="17" t="str">
        <f>IFERROR(INDEX(登録!$H$2:$H$201,MATCH($A31&amp;"_"&amp;TEXT(G29,"YYYY-MM-DD"),登録!$G$2:$G$201,0)),"")</f>
        <v/>
      </c>
      <c r="H31" s="17" t="str">
        <f>IFERROR(INDEX(登録!$H$2:$H$201,MATCH($A31&amp;"_"&amp;TEXT(H29,"YYYY-MM-DD"),登録!$G$2:$G$201,0)),"")</f>
        <v/>
      </c>
    </row>
    <row r="32" spans="1:8" ht="31.5" customHeight="1">
      <c r="A32" s="16" t="str">
        <f>設定!$A$4</f>
        <v>鈴木</v>
      </c>
      <c r="B32" s="17" t="str">
        <f>IFERROR(INDEX(登録!$H$2:$H$201,MATCH($A32&amp;"_"&amp;TEXT(B29,"YYYY-MM-DD"),登録!$G$2:$G$201,0)),"")</f>
        <v/>
      </c>
      <c r="C32" s="17" t="str">
        <f>IFERROR(INDEX(登録!$H$2:$H$201,MATCH($A32&amp;"_"&amp;TEXT(C29,"YYYY-MM-DD"),登録!$G$2:$G$201,0)),"")</f>
        <v/>
      </c>
      <c r="D32" s="17" t="str">
        <f>IFERROR(INDEX(登録!$H$2:$H$201,MATCH($A32&amp;"_"&amp;TEXT(D29,"YYYY-MM-DD"),登録!$G$2:$G$201,0)),"")</f>
        <v/>
      </c>
      <c r="E32" s="17" t="str">
        <f>IFERROR(INDEX(登録!$H$2:$H$201,MATCH($A32&amp;"_"&amp;TEXT(E29,"YYYY-MM-DD"),登録!$G$2:$G$201,0)),"")</f>
        <v/>
      </c>
      <c r="F32" s="17" t="str">
        <f>IFERROR(INDEX(登録!$H$2:$H$201,MATCH($A32&amp;"_"&amp;TEXT(F29,"YYYY-MM-DD"),登録!$G$2:$G$201,0)),"")</f>
        <v/>
      </c>
      <c r="G32" s="17" t="str">
        <f>IFERROR(INDEX(登録!$H$2:$H$201,MATCH($A32&amp;"_"&amp;TEXT(G29,"YYYY-MM-DD"),登録!$G$2:$G$201,0)),"")</f>
        <v/>
      </c>
      <c r="H32" s="17" t="str">
        <f>IFERROR(INDEX(登録!$H$2:$H$201,MATCH($A32&amp;"_"&amp;TEXT(H29,"YYYY-MM-DD"),登録!$G$2:$G$201,0)),"")</f>
        <v/>
      </c>
    </row>
    <row r="33" spans="1:8" ht="31.5" customHeight="1">
      <c r="A33" s="16" t="str">
        <f>設定!$A$5</f>
        <v>田中</v>
      </c>
      <c r="B33" s="17" t="str">
        <f>IFERROR(INDEX(登録!$H$2:$H$201,MATCH($A33&amp;"_"&amp;TEXT(B29,"YYYY-MM-DD"),登録!$G$2:$G$201,0)),"")</f>
        <v/>
      </c>
      <c r="C33" s="17" t="str">
        <f>IFERROR(INDEX(登録!$H$2:$H$201,MATCH($A33&amp;"_"&amp;TEXT(C29,"YYYY-MM-DD"),登録!$G$2:$G$201,0)),"")</f>
        <v/>
      </c>
      <c r="D33" s="17" t="str">
        <f>IFERROR(INDEX(登録!$H$2:$H$201,MATCH($A33&amp;"_"&amp;TEXT(D29,"YYYY-MM-DD"),登録!$G$2:$G$201,0)),"")</f>
        <v/>
      </c>
      <c r="E33" s="17" t="str">
        <f>IFERROR(INDEX(登録!$H$2:$H$201,MATCH($A33&amp;"_"&amp;TEXT(E29,"YYYY-MM-DD"),登録!$G$2:$G$201,0)),"")</f>
        <v/>
      </c>
      <c r="F33" s="17" t="str">
        <f>IFERROR(INDEX(登録!$H$2:$H$201,MATCH($A33&amp;"_"&amp;TEXT(F29,"YYYY-MM-DD"),登録!$G$2:$G$201,0)),"")</f>
        <v/>
      </c>
      <c r="G33" s="17" t="str">
        <f>IFERROR(INDEX(登録!$H$2:$H$201,MATCH($A33&amp;"_"&amp;TEXT(G29,"YYYY-MM-DD"),登録!$G$2:$G$201,0)),"")</f>
        <v/>
      </c>
      <c r="H33" s="17" t="str">
        <f>IFERROR(INDEX(登録!$H$2:$H$201,MATCH($A33&amp;"_"&amp;TEXT(H29,"YYYY-MM-DD"),登録!$G$2:$G$201,0)),"")</f>
        <v/>
      </c>
    </row>
  </sheetData>
  <phoneticPr fontId="16"/>
  <conditionalFormatting sqref="B4:H33">
    <cfRule type="expression" dxfId="5" priority="2">
      <formula>ISNUMBER(SEARCH("出勤",B4))</formula>
    </cfRule>
    <cfRule type="expression" dxfId="4" priority="3">
      <formula>ISNUMBER(SEARCH("リモート",B4))</formula>
    </cfRule>
    <cfRule type="expression" dxfId="3" priority="4">
      <formula>ISNUMBER(SEARCH("欠勤",B4))</formula>
    </cfRule>
    <cfRule type="expression" dxfId="2" priority="5">
      <formula>ISNUMBER(SEARCH("未定",B4))</formula>
    </cfRule>
    <cfRule type="expression" dxfId="1" priority="6">
      <formula>ISNUMBER(SEARCH("(確定)",B4))</formula>
    </cfRule>
    <cfRule type="expression" dxfId="0" priority="7">
      <formula>ISNUMBER(SEARCH("(希望)",B4))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使い方</vt:lpstr>
      <vt:lpstr>設定</vt:lpstr>
      <vt:lpstr>登録</vt:lpstr>
      <vt:lpstr>月表示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田村 駿貴</cp:lastModifiedBy>
  <cp:revision>0</cp:revision>
  <dcterms:created xsi:type="dcterms:W3CDTF">2026-08-20T08:29:20Z</dcterms:created>
  <dcterms:modified xsi:type="dcterms:W3CDTF">2026-08-20T08:52:57Z</dcterms:modified>
  <dc:language>ja-JP</dc:language>
</cp:coreProperties>
</file>